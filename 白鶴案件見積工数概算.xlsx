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ntech\Desktop\見積\"/>
    </mc:Choice>
  </mc:AlternateContent>
  <xr:revisionPtr revIDLastSave="0" documentId="13_ncr:1_{9555EA47-1451-4031-8F13-DA46A4FC0A63}" xr6:coauthVersionLast="47" xr6:coauthVersionMax="47" xr10:uidLastSave="{00000000-0000-0000-0000-000000000000}"/>
  <bookViews>
    <workbookView xWindow="-110" yWindow="-110" windowWidth="19420" windowHeight="11500" activeTab="1" xr2:uid="{6DAEA68C-5ACE-4DFC-99A3-0398A21DA67D}"/>
  </bookViews>
  <sheets>
    <sheet name="対象(ロンテック様)" sheetId="1" r:id="rId1"/>
    <sheet name="見積工数概算" sheetId="3" r:id="rId2"/>
  </sheets>
  <definedNames>
    <definedName name="Resource">#REF!</definedName>
    <definedName name="休日表示">#REF!</definedName>
    <definedName name="作業日">#REF!</definedName>
    <definedName name="状況判定基準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7" i="3" l="1"/>
  <c r="H12" i="3"/>
  <c r="I12" i="3"/>
  <c r="J12" i="3"/>
  <c r="K12" i="3"/>
  <c r="L12" i="3"/>
  <c r="M12" i="3"/>
  <c r="H13" i="3"/>
  <c r="I13" i="3"/>
  <c r="J13" i="3"/>
  <c r="K13" i="3"/>
  <c r="L13" i="3"/>
  <c r="M13" i="3"/>
  <c r="H14" i="3"/>
  <c r="I14" i="3"/>
  <c r="J14" i="3"/>
  <c r="K14" i="3"/>
  <c r="L14" i="3"/>
  <c r="M14" i="3"/>
  <c r="H15" i="3"/>
  <c r="I15" i="3"/>
  <c r="J15" i="3"/>
  <c r="K15" i="3"/>
  <c r="L15" i="3"/>
  <c r="M15" i="3"/>
  <c r="H16" i="3"/>
  <c r="I16" i="3"/>
  <c r="J16" i="3"/>
  <c r="K16" i="3"/>
  <c r="L16" i="3"/>
  <c r="M16" i="3"/>
  <c r="H17" i="3"/>
  <c r="I17" i="3"/>
  <c r="J17" i="3"/>
  <c r="K17" i="3"/>
  <c r="L17" i="3"/>
  <c r="M17" i="3"/>
  <c r="H18" i="3"/>
  <c r="I18" i="3"/>
  <c r="J18" i="3"/>
  <c r="K18" i="3"/>
  <c r="L18" i="3"/>
  <c r="M18" i="3"/>
  <c r="H19" i="3"/>
  <c r="I19" i="3"/>
  <c r="J19" i="3"/>
  <c r="K19" i="3"/>
  <c r="L19" i="3"/>
  <c r="M19" i="3"/>
  <c r="H20" i="3"/>
  <c r="J20" i="3"/>
  <c r="L20" i="3"/>
  <c r="H21" i="3"/>
  <c r="J21" i="3"/>
  <c r="L21" i="3"/>
  <c r="H22" i="3"/>
  <c r="J22" i="3"/>
  <c r="L22" i="3"/>
  <c r="I23" i="3"/>
  <c r="K23" i="3"/>
  <c r="L23" i="3"/>
  <c r="M23" i="3"/>
  <c r="H24" i="3"/>
  <c r="I24" i="3"/>
  <c r="J24" i="3"/>
  <c r="K24" i="3"/>
  <c r="L24" i="3"/>
  <c r="M24" i="3"/>
  <c r="H25" i="3"/>
  <c r="J25" i="3"/>
  <c r="L25" i="3"/>
  <c r="H26" i="3"/>
  <c r="I26" i="3"/>
  <c r="J26" i="3"/>
  <c r="K26" i="3"/>
  <c r="L26" i="3"/>
  <c r="M26" i="3"/>
  <c r="L11" i="3"/>
  <c r="J11" i="3"/>
  <c r="H11" i="3"/>
  <c r="M10" i="3"/>
  <c r="L10" i="3"/>
  <c r="K10" i="3"/>
  <c r="J10" i="3"/>
  <c r="I10" i="3"/>
  <c r="H10" i="3"/>
  <c r="L9" i="3"/>
  <c r="J9" i="3"/>
  <c r="H9" i="3"/>
  <c r="M8" i="3"/>
  <c r="L8" i="3"/>
  <c r="K8" i="3"/>
  <c r="J8" i="3"/>
  <c r="I8" i="3"/>
  <c r="H8" i="3"/>
  <c r="M7" i="3"/>
  <c r="L7" i="3"/>
  <c r="K7" i="3"/>
  <c r="J7" i="3"/>
  <c r="I7" i="3"/>
  <c r="H7" i="3"/>
  <c r="M6" i="3"/>
  <c r="L6" i="3"/>
  <c r="K6" i="3"/>
  <c r="J6" i="3"/>
  <c r="I6" i="3"/>
  <c r="H6" i="3"/>
  <c r="M5" i="3"/>
  <c r="L5" i="3"/>
  <c r="K5" i="3"/>
  <c r="J5" i="3"/>
  <c r="I5" i="3"/>
  <c r="H5" i="3"/>
  <c r="M4" i="3"/>
  <c r="L4" i="3"/>
  <c r="K4" i="3"/>
  <c r="J4" i="3"/>
  <c r="I4" i="3"/>
  <c r="H4" i="3"/>
  <c r="M3" i="3"/>
  <c r="L3" i="3"/>
  <c r="K3" i="3"/>
  <c r="J3" i="3"/>
  <c r="I3" i="3"/>
  <c r="H3" i="3"/>
  <c r="L27" i="3" l="1"/>
  <c r="M27" i="3"/>
  <c r="J27" i="3"/>
  <c r="H27" i="3"/>
  <c r="I27" i="3"/>
  <c r="K27" i="3"/>
  <c r="H28" i="3" l="1"/>
</calcChain>
</file>

<file path=xl/sharedStrings.xml><?xml version="1.0" encoding="utf-8"?>
<sst xmlns="http://schemas.openxmlformats.org/spreadsheetml/2006/main" count="404" uniqueCount="196">
  <si>
    <t>キーID</t>
  </si>
  <si>
    <t>カテゴリー名</t>
  </si>
  <si>
    <t>件名</t>
  </si>
  <si>
    <t>状態</t>
  </si>
  <si>
    <t>担当者</t>
  </si>
  <si>
    <t>チーム区分</t>
  </si>
  <si>
    <t>業務分類</t>
    <rPh sb="0" eb="2">
      <t>ギョウム</t>
    </rPh>
    <rPh sb="2" eb="4">
      <t>ブンルイ</t>
    </rPh>
    <phoneticPr fontId="2"/>
  </si>
  <si>
    <t>機能分類</t>
    <rPh sb="0" eb="2">
      <t>キノウ</t>
    </rPh>
    <rPh sb="2" eb="4">
      <t>ブンルイ</t>
    </rPh>
    <phoneticPr fontId="2"/>
  </si>
  <si>
    <t>発注先1</t>
    <rPh sb="0" eb="2">
      <t>ハッチュウ</t>
    </rPh>
    <rPh sb="2" eb="3">
      <t>サキ</t>
    </rPh>
    <phoneticPr fontId="2"/>
  </si>
  <si>
    <t>発注先2</t>
    <rPh sb="0" eb="2">
      <t>ハッチュウ</t>
    </rPh>
    <rPh sb="2" eb="3">
      <t>サキ</t>
    </rPh>
    <phoneticPr fontId="2"/>
  </si>
  <si>
    <t>開発pt</t>
    <rPh sb="0" eb="2">
      <t>カイハツ</t>
    </rPh>
    <phoneticPr fontId="2"/>
  </si>
  <si>
    <t>EXCELレポート</t>
  </si>
  <si>
    <t>機能名</t>
    <rPh sb="0" eb="2">
      <t>キノウ</t>
    </rPh>
    <rPh sb="2" eb="3">
      <t>メイ</t>
    </rPh>
    <phoneticPr fontId="2"/>
  </si>
  <si>
    <t>受注</t>
  </si>
  <si>
    <t>004_取引先マスタ登録_概要設計書作成</t>
  </si>
  <si>
    <t>未対応</t>
  </si>
  <si>
    <t>KSC吉田</t>
  </si>
  <si>
    <t>販売</t>
  </si>
  <si>
    <t>マスタ</t>
  </si>
  <si>
    <t>画面</t>
    <rPh sb="0" eb="2">
      <t>ガメン</t>
    </rPh>
    <phoneticPr fontId="2"/>
  </si>
  <si>
    <t>KSC</t>
  </si>
  <si>
    <t>RON</t>
  </si>
  <si>
    <t>取引先マスタ登録</t>
  </si>
  <si>
    <t>005_取引先マスタ一覧登録_概要設計書作成</t>
  </si>
  <si>
    <t>取引先マスタ一覧登録</t>
  </si>
  <si>
    <t>024_業務データダウンロード（10C/S未満）_概要設計書作成</t>
  </si>
  <si>
    <t>完了</t>
  </si>
  <si>
    <t>KSC袁</t>
  </si>
  <si>
    <t>受注</t>
    <rPh sb="0" eb="2">
      <t>ジュチュウ</t>
    </rPh>
    <phoneticPr fontId="2"/>
  </si>
  <si>
    <t>業務D/L</t>
    <rPh sb="0" eb="2">
      <t>ギョウム</t>
    </rPh>
    <phoneticPr fontId="2"/>
  </si>
  <si>
    <t>業務データダウンロード（10C/S未満）</t>
  </si>
  <si>
    <t>025_業務データダウンロード（受注制数限）_概要設計書作成</t>
  </si>
  <si>
    <t>業務データダウンロード（受注制数限）</t>
  </si>
  <si>
    <t>026_販売単価取得サービス_概要設計書作成</t>
  </si>
  <si>
    <t>サービス</t>
  </si>
  <si>
    <t>販売単価取得サービス</t>
  </si>
  <si>
    <t>出荷</t>
  </si>
  <si>
    <t>035_運賃用SuperStream仕訳ワークテーブル作成_概要設計書作成</t>
  </si>
  <si>
    <t>KSC井野</t>
  </si>
  <si>
    <t>出荷</t>
    <rPh sb="0" eb="2">
      <t>シュッカ</t>
    </rPh>
    <phoneticPr fontId="2"/>
  </si>
  <si>
    <t>バッチ</t>
  </si>
  <si>
    <t>運賃用SuperStream仕訳ワークテーブル作成</t>
  </si>
  <si>
    <t>039_出荷予定変更登録_概要設計書作成</t>
  </si>
  <si>
    <t>出荷予定変更登録</t>
  </si>
  <si>
    <t>041_出荷指図一覧登録_概要設計書作成</t>
  </si>
  <si>
    <t>出荷指図一覧登録</t>
  </si>
  <si>
    <t>055_運賃算出処理_概要設計書作成</t>
  </si>
  <si>
    <t>運賃算出処理</t>
  </si>
  <si>
    <t>056_出荷指図バッチ_概要設計書作成</t>
  </si>
  <si>
    <t>出荷指図バッチ</t>
  </si>
  <si>
    <t>購買</t>
  </si>
  <si>
    <t>060_発注登録_概要設計書作成</t>
  </si>
  <si>
    <t>KSC稲原</t>
  </si>
  <si>
    <t>購買</t>
    <rPh sb="0" eb="2">
      <t>コウバイ</t>
    </rPh>
    <phoneticPr fontId="2"/>
  </si>
  <si>
    <t>FPT</t>
  </si>
  <si>
    <t>発注登録</t>
  </si>
  <si>
    <t>061_発注一覧登録_概要設計書作成</t>
  </si>
  <si>
    <t>発注一覧登録</t>
  </si>
  <si>
    <t>在庫</t>
  </si>
  <si>
    <t>064_現状在庫一覧照会_概要設計書作成</t>
  </si>
  <si>
    <t>処理中</t>
  </si>
  <si>
    <t>KSC備藤</t>
  </si>
  <si>
    <t>在庫</t>
    <rPh sb="0" eb="2">
      <t>ザイコ</t>
    </rPh>
    <phoneticPr fontId="2"/>
  </si>
  <si>
    <t>現状在庫一覧照会</t>
  </si>
  <si>
    <t>065_在庫振替登録_概要設計書作成</t>
  </si>
  <si>
    <t>KSC社和也</t>
  </si>
  <si>
    <t>準委任</t>
    <rPh sb="0" eb="3">
      <t>ジュンイニン</t>
    </rPh>
    <phoneticPr fontId="2"/>
  </si>
  <si>
    <t>在庫振替登録</t>
  </si>
  <si>
    <t>066_業務データダウンロード（過去時点ロットNo別在庫照会）_概要設計書作成</t>
  </si>
  <si>
    <t>業務データダウンロード（過去時点ロットNo別在庫照会）</t>
  </si>
  <si>
    <t>輸出入</t>
  </si>
  <si>
    <t>071_インボイス登録_概要設計書作成</t>
  </si>
  <si>
    <t>KSC三好</t>
  </si>
  <si>
    <t>輸出入</t>
    <rPh sb="0" eb="3">
      <t>ユシュツニュウ</t>
    </rPh>
    <phoneticPr fontId="2"/>
  </si>
  <si>
    <t>UCS</t>
  </si>
  <si>
    <t>インボイス登録</t>
  </si>
  <si>
    <t>072_パッキングリスト登録_概要設計書作成</t>
  </si>
  <si>
    <t>パッキングリスト登録</t>
  </si>
  <si>
    <t>IF</t>
  </si>
  <si>
    <t>089_在庫報告データ受信_概要設計書作成</t>
  </si>
  <si>
    <t>共通</t>
  </si>
  <si>
    <t>I/F</t>
  </si>
  <si>
    <t>在庫報告データ受信</t>
  </si>
  <si>
    <t>093_売上実績データ受信（通販）_概要設計書作成</t>
  </si>
  <si>
    <t>売上</t>
    <rPh sb="0" eb="2">
      <t>ウリアゲ</t>
    </rPh>
    <phoneticPr fontId="2"/>
  </si>
  <si>
    <t>売上実績データ受信（通販）</t>
  </si>
  <si>
    <t>098_売上実績データ受信（資料館）_概要設計書作成</t>
  </si>
  <si>
    <t>売上実績データ受信（資料館）</t>
  </si>
  <si>
    <t>099_売上実績データ受信（ミューズ）_概要設計書作成</t>
  </si>
  <si>
    <t>売上実績データ受信（ミューズ）</t>
  </si>
  <si>
    <t>112_受注欠品データ送信_概要設計書作成</t>
  </si>
  <si>
    <t>受注欠品データ送信</t>
  </si>
  <si>
    <t>114_入庫実績データ送信_概要設計書作成</t>
  </si>
  <si>
    <t>KSC永井</t>
  </si>
  <si>
    <t>入庫実績データ送信</t>
  </si>
  <si>
    <t>130_運賃計算結果照会（業務データD/L）_概要設計書作成</t>
  </si>
  <si>
    <t>運賃計算結果照会（業務データD/L）</t>
  </si>
  <si>
    <t>No.</t>
  </si>
  <si>
    <t>機能ID</t>
  </si>
  <si>
    <t>機能名</t>
  </si>
  <si>
    <t>機能分類</t>
    <rPh sb="0" eb="2">
      <t>キノウ</t>
    </rPh>
    <rPh sb="2" eb="4">
      <t>ブンルイ</t>
    </rPh>
    <phoneticPr fontId="6"/>
  </si>
  <si>
    <t>難易度</t>
    <rPh sb="0" eb="3">
      <t>ナンイド</t>
    </rPh>
    <phoneticPr fontId="6"/>
  </si>
  <si>
    <t>開発・単テ</t>
    <rPh sb="0" eb="2">
      <t>カイハツ</t>
    </rPh>
    <rPh sb="3" eb="4">
      <t>タン</t>
    </rPh>
    <phoneticPr fontId="6"/>
  </si>
  <si>
    <t>開発</t>
    <phoneticPr fontId="6"/>
  </si>
  <si>
    <t>開発レビュー</t>
    <phoneticPr fontId="6"/>
  </si>
  <si>
    <t>単テ</t>
    <rPh sb="0" eb="1">
      <t>タン</t>
    </rPh>
    <phoneticPr fontId="6"/>
  </si>
  <si>
    <t>単テレビュー</t>
    <rPh sb="0" eb="1">
      <t>タン</t>
    </rPh>
    <phoneticPr fontId="6"/>
  </si>
  <si>
    <t>詳細設計</t>
    <rPh sb="0" eb="4">
      <t>ショウサイセッケイ</t>
    </rPh>
    <phoneticPr fontId="6"/>
  </si>
  <si>
    <t>詳細設計レビュー</t>
    <rPh sb="0" eb="4">
      <t>ショウサイセッケイ</t>
    </rPh>
    <phoneticPr fontId="6"/>
  </si>
  <si>
    <t>説明</t>
    <rPh sb="0" eb="2">
      <t>セツメイ</t>
    </rPh>
    <phoneticPr fontId="6"/>
  </si>
  <si>
    <t>MSBCP1010</t>
    <phoneticPr fontId="4"/>
  </si>
  <si>
    <t>画面</t>
    <rPh sb="0" eb="2">
      <t>ガメン</t>
    </rPh>
    <phoneticPr fontId="6"/>
  </si>
  <si>
    <t>MSBCP1040</t>
  </si>
  <si>
    <t>MSBEP0010</t>
  </si>
  <si>
    <t>MSBEKR0XXX</t>
    <phoneticPr fontId="4"/>
  </si>
  <si>
    <t>MABSKP0XXX</t>
    <phoneticPr fontId="6"/>
  </si>
  <si>
    <t>MSBCKP0XXX</t>
    <phoneticPr fontId="6"/>
  </si>
  <si>
    <t>MSBEKP0XXX</t>
    <phoneticPr fontId="6"/>
  </si>
  <si>
    <t>MSBFKB0XXX</t>
    <phoneticPr fontId="4"/>
  </si>
  <si>
    <t>MSBCKB0110</t>
    <phoneticPr fontId="6"/>
  </si>
  <si>
    <t>MSBCKB0111</t>
  </si>
  <si>
    <t>MSBCKB0112</t>
  </si>
  <si>
    <t>MSBCKB0113</t>
  </si>
  <si>
    <t>MSBCKB0114</t>
  </si>
  <si>
    <t>MSBCKB0115</t>
  </si>
  <si>
    <t>MSBCKB0116</t>
  </si>
  <si>
    <t>MSBCKB0117</t>
  </si>
  <si>
    <t>MSBCKB0118</t>
  </si>
  <si>
    <t>MSBCKB0119</t>
  </si>
  <si>
    <t>MSBCKB0120</t>
  </si>
  <si>
    <t>MSBCKB0121</t>
  </si>
  <si>
    <t>MSBCKB0122</t>
  </si>
  <si>
    <t>MSBCKB0123</t>
  </si>
  <si>
    <t>MSBCKB0124</t>
  </si>
  <si>
    <t>MSBCKB0125</t>
  </si>
  <si>
    <t>サービス</t>
    <phoneticPr fontId="6"/>
  </si>
  <si>
    <t>バッチ</t>
    <phoneticPr fontId="6"/>
  </si>
  <si>
    <t>A</t>
    <phoneticPr fontId="2"/>
  </si>
  <si>
    <t>C</t>
    <phoneticPr fontId="2"/>
  </si>
  <si>
    <t>B</t>
    <phoneticPr fontId="2"/>
  </si>
  <si>
    <t>不要な機能</t>
    <rPh sb="0" eb="2">
      <t>フヨウ</t>
    </rPh>
    <rPh sb="3" eb="5">
      <t>キノウ</t>
    </rPh>
    <phoneticPr fontId="6"/>
  </si>
  <si>
    <t>D</t>
    <phoneticPr fontId="2"/>
  </si>
  <si>
    <t>C</t>
  </si>
  <si>
    <t>基本設計見直し</t>
    <rPh sb="0" eb="2">
      <t>キホン</t>
    </rPh>
    <rPh sb="2" eb="4">
      <t>セッケイ</t>
    </rPh>
    <rPh sb="4" eb="6">
      <t>ミナオ</t>
    </rPh>
    <phoneticPr fontId="2"/>
  </si>
  <si>
    <t>B</t>
  </si>
  <si>
    <t>KSC様提示開発PT</t>
    <rPh sb="3" eb="4">
      <t>サマ</t>
    </rPh>
    <rPh sb="4" eb="6">
      <t>テイジ</t>
    </rPh>
    <rPh sb="6" eb="8">
      <t>カイハツ</t>
    </rPh>
    <phoneticPr fontId="2"/>
  </si>
  <si>
    <t>099_売上実績データ受信（ミューズ）_概要設計書作成</t>
    <phoneticPr fontId="2"/>
  </si>
  <si>
    <t>098_売上実績データ受信（資料館）_概要設計書作成</t>
    <phoneticPr fontId="2"/>
  </si>
  <si>
    <t>コーディング~単体テスト工数レベル</t>
    <rPh sb="7" eb="9">
      <t>タンタイ</t>
    </rPh>
    <phoneticPr fontId="4"/>
  </si>
  <si>
    <t>CD~UT</t>
    <phoneticPr fontId="4"/>
  </si>
  <si>
    <t>分類</t>
    <rPh sb="0" eb="2">
      <t>ブンルイ</t>
    </rPh>
    <phoneticPr fontId="4"/>
  </si>
  <si>
    <t>工数ランク</t>
    <rPh sb="0" eb="2">
      <t>コウスウ</t>
    </rPh>
    <phoneticPr fontId="4"/>
  </si>
  <si>
    <t>工数(人日)</t>
    <rPh sb="0" eb="2">
      <t>コウスウ</t>
    </rPh>
    <rPh sb="3" eb="4">
      <t>ニン</t>
    </rPh>
    <rPh sb="4" eb="5">
      <t>ニチ</t>
    </rPh>
    <phoneticPr fontId="6"/>
  </si>
  <si>
    <t>1.特大</t>
  </si>
  <si>
    <t>X</t>
    <phoneticPr fontId="4"/>
  </si>
  <si>
    <t>2.大</t>
  </si>
  <si>
    <t>A</t>
  </si>
  <si>
    <t>3.中</t>
  </si>
  <si>
    <t>4.小</t>
  </si>
  <si>
    <t>5.軽微</t>
    <phoneticPr fontId="4"/>
  </si>
  <si>
    <t>D</t>
  </si>
  <si>
    <t>6.超軽微</t>
    <rPh sb="2" eb="3">
      <t>チョウ</t>
    </rPh>
    <phoneticPr fontId="4"/>
  </si>
  <si>
    <t>E</t>
  </si>
  <si>
    <t>開発・単体・レビュー比率（概算）</t>
    <rPh sb="0" eb="2">
      <t>カイハツ</t>
    </rPh>
    <rPh sb="3" eb="5">
      <t>タンタイ</t>
    </rPh>
    <rPh sb="10" eb="12">
      <t>ヒリツ</t>
    </rPh>
    <rPh sb="13" eb="15">
      <t>ガイサン</t>
    </rPh>
    <phoneticPr fontId="6"/>
  </si>
  <si>
    <t>開発</t>
    <rPh sb="0" eb="2">
      <t>カイハツ</t>
    </rPh>
    <phoneticPr fontId="6"/>
  </si>
  <si>
    <t>開発レビュー</t>
    <rPh sb="0" eb="2">
      <t>カイハツ</t>
    </rPh>
    <phoneticPr fontId="6"/>
  </si>
  <si>
    <t>UT</t>
    <phoneticPr fontId="6"/>
  </si>
  <si>
    <t>UTレビュー</t>
    <phoneticPr fontId="6"/>
  </si>
  <si>
    <r>
      <t>D</t>
    </r>
    <r>
      <rPr>
        <b/>
        <sz val="11"/>
        <color rgb="FFFF0000"/>
        <rFont val="游ゴシック"/>
        <family val="3"/>
        <charset val="128"/>
        <scheme val="minor"/>
      </rPr>
      <t>↓</t>
    </r>
    <phoneticPr fontId="2"/>
  </si>
  <si>
    <t>合計工数：</t>
    <rPh sb="0" eb="2">
      <t>ゴウケイ</t>
    </rPh>
    <rPh sb="2" eb="4">
      <t>コウスウ</t>
    </rPh>
    <phoneticPr fontId="2"/>
  </si>
  <si>
    <r>
      <t>A</t>
    </r>
    <r>
      <rPr>
        <b/>
        <sz val="11"/>
        <color rgb="FFFF0000"/>
        <rFont val="游ゴシック"/>
        <family val="3"/>
        <charset val="128"/>
        <scheme val="minor"/>
      </rPr>
      <t>↑</t>
    </r>
    <phoneticPr fontId="2"/>
  </si>
  <si>
    <r>
      <t>A</t>
    </r>
    <r>
      <rPr>
        <sz val="11"/>
        <color rgb="FFFF0000"/>
        <rFont val="游ゴシック"/>
        <family val="3"/>
        <charset val="128"/>
        <scheme val="minor"/>
      </rPr>
      <t>↑</t>
    </r>
    <phoneticPr fontId="2"/>
  </si>
  <si>
    <t>※G列に数字を入力するとH列～M列は自動計算、F列の難易度は目安となり自動計算と関係ない</t>
    <rPh sb="2" eb="3">
      <t>レツ</t>
    </rPh>
    <rPh sb="4" eb="6">
      <t>スウジ</t>
    </rPh>
    <rPh sb="7" eb="9">
      <t>ニュウリョク</t>
    </rPh>
    <rPh sb="13" eb="14">
      <t>レツ</t>
    </rPh>
    <rPh sb="16" eb="17">
      <t>レツ</t>
    </rPh>
    <rPh sb="18" eb="20">
      <t>ジドウ</t>
    </rPh>
    <rPh sb="20" eb="22">
      <t>ケイサン</t>
    </rPh>
    <rPh sb="24" eb="25">
      <t>レツ</t>
    </rPh>
    <rPh sb="30" eb="32">
      <t>メヤス</t>
    </rPh>
    <rPh sb="35" eb="37">
      <t>ジドウ</t>
    </rPh>
    <rPh sb="37" eb="39">
      <t>ケイサン</t>
    </rPh>
    <rPh sb="40" eb="42">
      <t>カンケイ</t>
    </rPh>
    <phoneticPr fontId="4"/>
  </si>
  <si>
    <t>総工数：</t>
    <rPh sb="0" eb="1">
      <t>ソウ</t>
    </rPh>
    <rPh sb="1" eb="3">
      <t>コウスウ</t>
    </rPh>
    <phoneticPr fontId="2"/>
  </si>
  <si>
    <t>/人日</t>
    <phoneticPr fontId="2"/>
  </si>
  <si>
    <t>売上実績受信（資料館）と一体機能になり、コーディング工数と単体テスト工数のみかかる</t>
    <rPh sb="0" eb="6">
      <t>ウリアゲジッセキジュシン</t>
    </rPh>
    <rPh sb="7" eb="9">
      <t>シリョウ</t>
    </rPh>
    <rPh sb="9" eb="10">
      <t>カン</t>
    </rPh>
    <rPh sb="12" eb="14">
      <t>イッタイ</t>
    </rPh>
    <rPh sb="14" eb="16">
      <t>キノウ</t>
    </rPh>
    <rPh sb="26" eb="28">
      <t>コウスウ</t>
    </rPh>
    <rPh sb="29" eb="31">
      <t>タンタイ</t>
    </rPh>
    <rPh sb="34" eb="36">
      <t>コウスウ</t>
    </rPh>
    <phoneticPr fontId="2"/>
  </si>
  <si>
    <r>
      <t>B</t>
    </r>
    <r>
      <rPr>
        <sz val="11"/>
        <color rgb="FFFF0000"/>
        <rFont val="游ゴシック"/>
        <family val="3"/>
        <charset val="128"/>
        <scheme val="minor"/>
      </rPr>
      <t>↑</t>
    </r>
    <phoneticPr fontId="2"/>
  </si>
  <si>
    <t>IFデータ作成と送信ファイル作成両方処理あり</t>
    <rPh sb="5" eb="7">
      <t>サクセイ</t>
    </rPh>
    <rPh sb="8" eb="10">
      <t>ソウシン</t>
    </rPh>
    <rPh sb="14" eb="16">
      <t>サクセイ</t>
    </rPh>
    <rPh sb="16" eb="18">
      <t>リョウホウ</t>
    </rPh>
    <rPh sb="18" eb="20">
      <t>ショリ</t>
    </rPh>
    <phoneticPr fontId="2"/>
  </si>
  <si>
    <r>
      <t xml:space="preserve">・新規追加インターフェース
・共通：固定長受信、ファイルレイアウトはmcframe標準で対応不可、
</t>
    </r>
    <r>
      <rPr>
        <b/>
        <sz val="11"/>
        <color rgb="FFFF0000"/>
        <rFont val="游ゴシック"/>
        <family val="3"/>
        <charset val="128"/>
        <scheme val="minor"/>
      </rPr>
      <t>・[ファイル定義のバージョンを判定する。]の仕様確認および実施方法の調査が必要だと思われます。基本設計書見直しの検討が必要。
バージョンに応じてそれぞれの機能を作る必要があるかもしれません。</t>
    </r>
    <r>
      <rPr>
        <sz val="11"/>
        <color theme="1"/>
        <rFont val="游ゴシック"/>
        <family val="3"/>
        <charset val="128"/>
        <scheme val="minor"/>
      </rPr>
      <t xml:space="preserve">
難易度アップ</t>
    </r>
    <rPh sb="15" eb="17">
      <t>キョウツウ</t>
    </rPh>
    <rPh sb="46" eb="48">
      <t>フカ</t>
    </rPh>
    <rPh sb="72" eb="74">
      <t>シヨウ</t>
    </rPh>
    <rPh sb="74" eb="76">
      <t>カクニン</t>
    </rPh>
    <rPh sb="79" eb="81">
      <t>ジッシ</t>
    </rPh>
    <rPh sb="81" eb="83">
      <t>ホウホウ</t>
    </rPh>
    <rPh sb="84" eb="86">
      <t>チョウサ</t>
    </rPh>
    <rPh sb="87" eb="89">
      <t>ヒツヨウ</t>
    </rPh>
    <rPh sb="91" eb="92">
      <t>オモ</t>
    </rPh>
    <rPh sb="102" eb="104">
      <t>ミナオ</t>
    </rPh>
    <rPh sb="106" eb="108">
      <t>ケントウ</t>
    </rPh>
    <rPh sb="109" eb="111">
      <t>ヒツヨウ</t>
    </rPh>
    <rPh sb="119" eb="120">
      <t>オウ</t>
    </rPh>
    <rPh sb="127" eb="129">
      <t>キノウ</t>
    </rPh>
    <rPh sb="130" eb="131">
      <t>ツク</t>
    </rPh>
    <rPh sb="132" eb="134">
      <t>ヒツヨウ</t>
    </rPh>
    <phoneticPr fontId="2"/>
  </si>
  <si>
    <t>・運賃計算結果を照会する。
・仕訳ワークテーブル作成結果を照会する</t>
    <rPh sb="1" eb="3">
      <t>ウンチン</t>
    </rPh>
    <rPh sb="3" eb="5">
      <t>ケイサン</t>
    </rPh>
    <rPh sb="5" eb="7">
      <t>ケッカ</t>
    </rPh>
    <rPh sb="8" eb="10">
      <t>ショウカイ</t>
    </rPh>
    <rPh sb="15" eb="17">
      <t>シワケ</t>
    </rPh>
    <rPh sb="24" eb="26">
      <t>サクセイ</t>
    </rPh>
    <rPh sb="26" eb="28">
      <t>ケッカ</t>
    </rPh>
    <rPh sb="29" eb="31">
      <t>ショウカイ</t>
    </rPh>
    <phoneticPr fontId="6"/>
  </si>
  <si>
    <t>・移動実績・入荷実績・他勘定振替実績・在庫振替実績のパターンに応じてそれぞれの対応が必要
・設計書にリカバリー方法など未記載なので、確認必要あり</t>
    <rPh sb="1" eb="5">
      <t>イドウジッセキ</t>
    </rPh>
    <rPh sb="6" eb="8">
      <t>ニュウカ</t>
    </rPh>
    <rPh sb="8" eb="10">
      <t>ジッセキ</t>
    </rPh>
    <rPh sb="11" eb="12">
      <t>タ</t>
    </rPh>
    <rPh sb="12" eb="14">
      <t>カンジョウ</t>
    </rPh>
    <rPh sb="14" eb="16">
      <t>フリカエ</t>
    </rPh>
    <rPh sb="16" eb="18">
      <t>ジッセキ</t>
    </rPh>
    <rPh sb="19" eb="21">
      <t>ザイコ</t>
    </rPh>
    <rPh sb="21" eb="23">
      <t>フリカエ</t>
    </rPh>
    <rPh sb="23" eb="25">
      <t>ジッセキ</t>
    </rPh>
    <rPh sb="31" eb="32">
      <t>オウ</t>
    </rPh>
    <rPh sb="39" eb="41">
      <t>タイオウ</t>
    </rPh>
    <rPh sb="42" eb="44">
      <t>ヒツヨウ</t>
    </rPh>
    <rPh sb="46" eb="49">
      <t>セッケイショ</t>
    </rPh>
    <rPh sb="55" eb="57">
      <t>ホウホウ</t>
    </rPh>
    <rPh sb="59" eb="62">
      <t>ミキサイ</t>
    </rPh>
    <rPh sb="66" eb="68">
      <t>カクニン</t>
    </rPh>
    <rPh sb="68" eb="70">
      <t>ヒツヨウ</t>
    </rPh>
    <phoneticPr fontId="2"/>
  </si>
  <si>
    <t>・標準では複雑なマスタ画面である
・画面カスタマイズ、新規項目追加、項目追加量は未知</t>
    <rPh sb="1" eb="3">
      <t>ヒョウジュン</t>
    </rPh>
    <rPh sb="5" eb="7">
      <t>フクザツ</t>
    </rPh>
    <rPh sb="11" eb="13">
      <t>ガメン</t>
    </rPh>
    <rPh sb="18" eb="20">
      <t>ガメン</t>
    </rPh>
    <rPh sb="27" eb="29">
      <t>シンキ</t>
    </rPh>
    <rPh sb="29" eb="31">
      <t>コウモク</t>
    </rPh>
    <rPh sb="31" eb="33">
      <t>ツイカ</t>
    </rPh>
    <rPh sb="34" eb="36">
      <t>コウモク</t>
    </rPh>
    <rPh sb="36" eb="38">
      <t>ツイカ</t>
    </rPh>
    <rPh sb="38" eb="39">
      <t>リョウ</t>
    </rPh>
    <rPh sb="40" eb="42">
      <t>ミチ</t>
    </rPh>
    <phoneticPr fontId="2"/>
  </si>
  <si>
    <t>・画面カスタマイズ、新規項目追加、項目追加量は未知</t>
    <rPh sb="1" eb="3">
      <t>ガメン</t>
    </rPh>
    <rPh sb="10" eb="12">
      <t>シンキ</t>
    </rPh>
    <rPh sb="12" eb="14">
      <t>コウモク</t>
    </rPh>
    <rPh sb="14" eb="16">
      <t>ツイカ</t>
    </rPh>
    <phoneticPr fontId="2"/>
  </si>
  <si>
    <t>・複雑なSQL検索</t>
    <rPh sb="1" eb="3">
      <t>フクザツ</t>
    </rPh>
    <rPh sb="7" eb="9">
      <t>ケンサク</t>
    </rPh>
    <phoneticPr fontId="2"/>
  </si>
  <si>
    <t>・販売単価サービス修正、単価区分により単価を取得する。</t>
    <rPh sb="1" eb="5">
      <t>ハンバイタンカ</t>
    </rPh>
    <rPh sb="9" eb="11">
      <t>シュウセイ</t>
    </rPh>
    <rPh sb="12" eb="14">
      <t>タンカ</t>
    </rPh>
    <rPh sb="14" eb="16">
      <t>クブン</t>
    </rPh>
    <rPh sb="19" eb="21">
      <t>タンカ</t>
    </rPh>
    <rPh sb="22" eb="24">
      <t>シュトク</t>
    </rPh>
    <phoneticPr fontId="4"/>
  </si>
  <si>
    <r>
      <t xml:space="preserve">・仕訳ワークテーブル作成は運賃計算バッチにて処理するようになりました。
</t>
    </r>
    <r>
      <rPr>
        <b/>
        <sz val="11"/>
        <color rgb="FFFF0000"/>
        <rFont val="游ゴシック"/>
        <family val="3"/>
        <charset val="128"/>
        <scheme val="minor"/>
      </rPr>
      <t>難易度↓</t>
    </r>
    <rPh sb="1" eb="3">
      <t>シワケ</t>
    </rPh>
    <rPh sb="10" eb="12">
      <t>サクセイ</t>
    </rPh>
    <rPh sb="13" eb="15">
      <t>ウンチン</t>
    </rPh>
    <rPh sb="15" eb="17">
      <t>ケイサン</t>
    </rPh>
    <rPh sb="22" eb="24">
      <t>ショリ</t>
    </rPh>
    <rPh sb="36" eb="39">
      <t>ナンイド</t>
    </rPh>
    <phoneticPr fontId="4"/>
  </si>
  <si>
    <t>・帳票発行項目追加、検索処理。　帳票サービス開発は不要</t>
    <rPh sb="1" eb="5">
      <t>チョウヒョウハッコウ</t>
    </rPh>
    <rPh sb="5" eb="9">
      <t>コウモクツイカ</t>
    </rPh>
    <rPh sb="10" eb="12">
      <t>ケンサク</t>
    </rPh>
    <rPh sb="12" eb="14">
      <t>ショリ</t>
    </rPh>
    <rPh sb="16" eb="18">
      <t>チョウヒョウ</t>
    </rPh>
    <rPh sb="22" eb="24">
      <t>カイハツ</t>
    </rPh>
    <rPh sb="25" eb="27">
      <t>フヨウ</t>
    </rPh>
    <phoneticPr fontId="4"/>
  </si>
  <si>
    <t>・新規バッチ、パタンが多く、難しいロジック、テストパターンが多い</t>
    <phoneticPr fontId="6"/>
  </si>
  <si>
    <t>・新規検索モード追加（縦横変換処理あり）</t>
    <rPh sb="3" eb="5">
      <t>ケンサク</t>
    </rPh>
    <rPh sb="8" eb="10">
      <t>ツイカ</t>
    </rPh>
    <rPh sb="11" eb="13">
      <t>タテヨコ</t>
    </rPh>
    <rPh sb="13" eb="15">
      <t>ヘンカン</t>
    </rPh>
    <rPh sb="15" eb="17">
      <t>ショリ</t>
    </rPh>
    <phoneticPr fontId="6"/>
  </si>
  <si>
    <t>・在庫状態変更、品名振替に応じて詰口管理へ送信処理があって、在庫振替実績サービスカスタマイズがあり（基本設計書には未記載）</t>
    <rPh sb="1" eb="3">
      <t>ザイコ</t>
    </rPh>
    <rPh sb="3" eb="5">
      <t>ジョウタイ</t>
    </rPh>
    <rPh sb="5" eb="7">
      <t>ヘンコウ</t>
    </rPh>
    <rPh sb="8" eb="10">
      <t>ヒンメイ</t>
    </rPh>
    <rPh sb="10" eb="12">
      <t>フリカエ</t>
    </rPh>
    <rPh sb="13" eb="14">
      <t>オウ</t>
    </rPh>
    <rPh sb="16" eb="18">
      <t>ツメクチ</t>
    </rPh>
    <rPh sb="18" eb="20">
      <t>カンリ</t>
    </rPh>
    <rPh sb="21" eb="23">
      <t>ソウシン</t>
    </rPh>
    <rPh sb="23" eb="25">
      <t>ショリ</t>
    </rPh>
    <rPh sb="30" eb="32">
      <t>ザイコ</t>
    </rPh>
    <rPh sb="32" eb="34">
      <t>フリカエ</t>
    </rPh>
    <rPh sb="34" eb="36">
      <t>ジッセキ</t>
    </rPh>
    <rPh sb="50" eb="55">
      <t>キホンセッケイショ</t>
    </rPh>
    <rPh sb="57" eb="60">
      <t>ミキサイ</t>
    </rPh>
    <phoneticPr fontId="2"/>
  </si>
  <si>
    <t>・複雑なSQL検索</t>
    <rPh sb="1" eb="3">
      <t>フクザツ</t>
    </rPh>
    <rPh sb="7" eb="9">
      <t>ケンサク</t>
    </rPh>
    <phoneticPr fontId="6"/>
  </si>
  <si>
    <t>・新規追加インターフェース
・計画外売上実績受信、売上実績、売上返品の両方登録あり（受領したソースを拝見して、取消に関する処理がなさそうで、取消処理は不要かもしれません。お客様に未確認）
・チェック処理が多い
汎用マスタ存在チェック、汎用マスタから取得した値はmcframeマスタに存在するかのチェックなど
・特殊処理があり「ロット割当、取引単位換算処理（仕様未確認、お客様に確認要）」
・ファイルデータ構造はmcframe標準によく合わせないので、取込後IFテーブルデータの更新処理は特殊処理必要
難易度アップ</t>
    <rPh sb="15" eb="17">
      <t>ケイカク</t>
    </rPh>
    <rPh sb="17" eb="18">
      <t>ガイ</t>
    </rPh>
    <rPh sb="18" eb="22">
      <t>ウリアゲジッセキ</t>
    </rPh>
    <rPh sb="22" eb="24">
      <t>ジュシン</t>
    </rPh>
    <rPh sb="25" eb="29">
      <t>ウリアゲジッセキ</t>
    </rPh>
    <rPh sb="30" eb="32">
      <t>ウリアゲ</t>
    </rPh>
    <rPh sb="32" eb="34">
      <t>ヘンピン</t>
    </rPh>
    <rPh sb="35" eb="37">
      <t>リョウホウ</t>
    </rPh>
    <rPh sb="37" eb="39">
      <t>トウロク</t>
    </rPh>
    <rPh sb="99" eb="101">
      <t>ショリ</t>
    </rPh>
    <rPh sb="102" eb="103">
      <t>オオ</t>
    </rPh>
    <rPh sb="105" eb="107">
      <t>ハンヨウ</t>
    </rPh>
    <rPh sb="110" eb="112">
      <t>ソンザイ</t>
    </rPh>
    <rPh sb="117" eb="119">
      <t>ハンヨウ</t>
    </rPh>
    <rPh sb="124" eb="126">
      <t>シュトク</t>
    </rPh>
    <rPh sb="128" eb="129">
      <t>アタイ</t>
    </rPh>
    <rPh sb="141" eb="143">
      <t>ソンザイ</t>
    </rPh>
    <rPh sb="155" eb="157">
      <t>トクシュ</t>
    </rPh>
    <rPh sb="202" eb="204">
      <t>コウゾウ</t>
    </rPh>
    <rPh sb="212" eb="214">
      <t>ヒョウジュン</t>
    </rPh>
    <rPh sb="217" eb="218">
      <t>ア</t>
    </rPh>
    <rPh sb="225" eb="227">
      <t>トリコミ</t>
    </rPh>
    <rPh sb="227" eb="228">
      <t>ゴ</t>
    </rPh>
    <rPh sb="238" eb="240">
      <t>コウシン</t>
    </rPh>
    <rPh sb="240" eb="242">
      <t>ショリ</t>
    </rPh>
    <rPh sb="243" eb="245">
      <t>トクシュ</t>
    </rPh>
    <rPh sb="245" eb="247">
      <t>ショリ</t>
    </rPh>
    <rPh sb="247" eb="249">
      <t>ヒツヨウ</t>
    </rPh>
    <rPh sb="288" eb="291">
      <t>ナンイド</t>
    </rPh>
    <phoneticPr fontId="2"/>
  </si>
  <si>
    <t>・新規追加インターフェース
・計画外売上実績受信、売上実績、売上返品の両方登録あり
・チェック処理が多い
汎用マスタ存在チェック、汎用マスタから取得した値はmcframeマスタに存在するかのチェックなど
・値引按配処理があり
・特殊処理があり「ロット割当、取引単位換算処理（仕様未確認、お客様に確認要）」
難易度アップ</t>
    <rPh sb="1" eb="3">
      <t>シンキ</t>
    </rPh>
    <rPh sb="3" eb="5">
      <t>ツイカ</t>
    </rPh>
    <rPh sb="103" eb="105">
      <t>ネビキ</t>
    </rPh>
    <rPh sb="105" eb="107">
      <t>アンバイ</t>
    </rPh>
    <rPh sb="107" eb="109">
      <t>ショリ</t>
    </rPh>
    <rPh sb="128" eb="130">
      <t>トリヒキ</t>
    </rPh>
    <rPh sb="130" eb="132">
      <t>タンイ</t>
    </rPh>
    <rPh sb="132" eb="134">
      <t>カンサン</t>
    </rPh>
    <rPh sb="134" eb="136">
      <t>ショリ</t>
    </rPh>
    <rPh sb="137" eb="139">
      <t>シヨウ</t>
    </rPh>
    <rPh sb="139" eb="142">
      <t>ミカクニン</t>
    </rPh>
    <rPh sb="144" eb="146">
      <t>キャクサマ</t>
    </rPh>
    <rPh sb="147" eb="149">
      <t>カクニン</t>
    </rPh>
    <rPh sb="149" eb="150">
      <t>ヨウ</t>
    </rPh>
    <rPh sb="153" eb="156">
      <t>ナンイド</t>
    </rPh>
    <phoneticPr fontId="2"/>
  </si>
  <si>
    <t>・複雑な画面カスタマイズ、カスタマイズ箇所が多い
・帳票発行新規発行、帳票サービス開発要
・特殊な検索仕様あり
・引当サービスの修正に応じてカスタマイズがあり</t>
    <rPh sb="1" eb="3">
      <t>フクザツ</t>
    </rPh>
    <rPh sb="4" eb="6">
      <t>ガメン</t>
    </rPh>
    <rPh sb="19" eb="21">
      <t>カショ</t>
    </rPh>
    <rPh sb="22" eb="23">
      <t>オオ</t>
    </rPh>
    <rPh sb="26" eb="30">
      <t>チョウヒョウハッコウ</t>
    </rPh>
    <rPh sb="30" eb="32">
      <t>シンキ</t>
    </rPh>
    <rPh sb="32" eb="34">
      <t>ハッコウ</t>
    </rPh>
    <rPh sb="35" eb="37">
      <t>チョウヒョウ</t>
    </rPh>
    <rPh sb="41" eb="43">
      <t>カイハツ</t>
    </rPh>
    <rPh sb="43" eb="44">
      <t>ヨウ</t>
    </rPh>
    <rPh sb="46" eb="48">
      <t>トクシュ</t>
    </rPh>
    <rPh sb="49" eb="51">
      <t>ケンサク</t>
    </rPh>
    <rPh sb="51" eb="53">
      <t>シヨウ</t>
    </rPh>
    <rPh sb="57" eb="59">
      <t>ヒキアテ</t>
    </rPh>
    <rPh sb="64" eb="66">
      <t>シュウセイ</t>
    </rPh>
    <rPh sb="67" eb="68">
      <t>オウ</t>
    </rPh>
    <phoneticPr fontId="4"/>
  </si>
  <si>
    <t>・新規バッチ処理</t>
    <rPh sb="1" eb="3">
      <t>シンキ</t>
    </rPh>
    <rPh sb="6" eb="8">
      <t>ショリ</t>
    </rPh>
    <phoneticPr fontId="6"/>
  </si>
  <si>
    <t>・標準画面カスタマイズ</t>
    <rPh sb="1" eb="3">
      <t>ヒョウジュン</t>
    </rPh>
    <rPh sb="3" eb="5">
      <t>ガメン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</si>
</sst>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"/>
  </numFmts>
  <fonts count="21" x14ac:knownFonts="1"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indexed="8"/>
      <name val="游ゴシック"/>
      <family val="2"/>
      <scheme val="minor"/>
    </font>
    <font>
      <b/>
      <sz val="11"/>
      <color rgb="FF000000"/>
      <name val="游ゴシック"/>
      <family val="2"/>
      <charset val="134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0"/>
      <color theme="1"/>
      <name val="メイリオ"/>
      <family val="2"/>
      <charset val="128"/>
    </font>
    <font>
      <sz val="11"/>
      <name val="Meiryo UI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</cellStyleXfs>
  <cellXfs count="6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/>
    <xf numFmtId="0" fontId="5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7" fontId="8" fillId="7" borderId="1" xfId="0" applyNumberFormat="1" applyFont="1" applyFill="1" applyBorder="1" applyAlignment="1">
      <alignment horizontal="center" vertical="center"/>
    </xf>
    <xf numFmtId="177" fontId="8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>
      <alignment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9" fillId="9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77" fontId="8" fillId="8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3" borderId="4" xfId="0" applyFill="1" applyBorder="1">
      <alignment vertical="center"/>
    </xf>
    <xf numFmtId="0" fontId="0" fillId="0" borderId="4" xfId="0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5" xfId="0" applyFill="1" applyBorder="1" applyAlignment="1">
      <alignment vertical="center"/>
    </xf>
    <xf numFmtId="0" fontId="0" fillId="0" borderId="5" xfId="0" applyBorder="1" applyAlignment="1"/>
    <xf numFmtId="0" fontId="0" fillId="2" borderId="5" xfId="0" applyFill="1" applyBorder="1" applyAlignment="1">
      <alignment vertical="center"/>
    </xf>
    <xf numFmtId="176" fontId="0" fillId="0" borderId="1" xfId="0" applyNumberFormat="1" applyBorder="1">
      <alignment vertical="center"/>
    </xf>
    <xf numFmtId="176" fontId="0" fillId="3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12" fillId="2" borderId="1" xfId="0" applyNumberFormat="1" applyFont="1" applyFill="1" applyBorder="1">
      <alignment vertical="center"/>
    </xf>
    <xf numFmtId="0" fontId="0" fillId="0" borderId="6" xfId="0" applyBorder="1" applyAlignment="1">
      <alignment vertical="center"/>
    </xf>
    <xf numFmtId="0" fontId="13" fillId="0" borderId="0" xfId="1" applyFont="1" applyAlignment="1">
      <alignment horizontal="left" vertical="center" readingOrder="1"/>
    </xf>
    <xf numFmtId="0" fontId="14" fillId="0" borderId="0" xfId="1" applyFont="1">
      <alignment vertical="center"/>
    </xf>
    <xf numFmtId="0" fontId="15" fillId="0" borderId="0" xfId="1" applyFont="1" applyAlignment="1">
      <alignment horizontal="left" vertical="center" readingOrder="1"/>
    </xf>
    <xf numFmtId="0" fontId="14" fillId="10" borderId="1" xfId="1" applyFont="1" applyFill="1" applyBorder="1">
      <alignment vertical="center"/>
    </xf>
    <xf numFmtId="0" fontId="15" fillId="10" borderId="1" xfId="1" applyFont="1" applyFill="1" applyBorder="1" applyAlignment="1">
      <alignment horizontal="left" vertical="center" readingOrder="1"/>
    </xf>
    <xf numFmtId="0" fontId="14" fillId="10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left" vertical="center" readingOrder="1"/>
    </xf>
    <xf numFmtId="0" fontId="14" fillId="0" borderId="1" xfId="1" applyFont="1" applyBorder="1">
      <alignment vertical="center"/>
    </xf>
    <xf numFmtId="0" fontId="14" fillId="0" borderId="1" xfId="1" applyFont="1" applyBorder="1" applyAlignment="1">
      <alignment horizontal="center" vertical="center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0" fontId="18" fillId="0" borderId="0" xfId="2" applyFont="1">
      <alignment vertical="center"/>
    </xf>
    <xf numFmtId="0" fontId="16" fillId="0" borderId="0" xfId="2">
      <alignment vertical="center"/>
    </xf>
    <xf numFmtId="0" fontId="16" fillId="11" borderId="1" xfId="2" applyFill="1" applyBorder="1">
      <alignment vertical="center"/>
    </xf>
    <xf numFmtId="0" fontId="16" fillId="0" borderId="1" xfId="2" applyBorder="1">
      <alignment vertical="center"/>
    </xf>
    <xf numFmtId="176" fontId="0" fillId="0" borderId="0" xfId="0" applyNumberFormat="1" applyBorder="1">
      <alignment vertical="center"/>
    </xf>
    <xf numFmtId="177" fontId="10" fillId="0" borderId="1" xfId="0" applyNumberFormat="1" applyFont="1" applyBorder="1" applyAlignment="1">
      <alignment horizontal="right"/>
    </xf>
    <xf numFmtId="0" fontId="19" fillId="0" borderId="4" xfId="0" applyFont="1" applyBorder="1" applyAlignment="1"/>
    <xf numFmtId="177" fontId="10" fillId="0" borderId="2" xfId="0" applyNumberFormat="1" applyFont="1" applyBorder="1" applyAlignment="1"/>
    <xf numFmtId="177" fontId="11" fillId="0" borderId="4" xfId="0" applyNumberFormat="1" applyFont="1" applyBorder="1" applyAlignment="1"/>
    <xf numFmtId="177" fontId="10" fillId="0" borderId="7" xfId="0" applyNumberFormat="1" applyFont="1" applyBorder="1" applyAlignment="1"/>
    <xf numFmtId="177" fontId="10" fillId="0" borderId="5" xfId="0" applyNumberFormat="1" applyFont="1" applyBorder="1" applyAlignment="1"/>
    <xf numFmtId="0" fontId="9" fillId="9" borderId="3" xfId="0" applyFont="1" applyFill="1" applyBorder="1" applyAlignment="1">
      <alignment vertical="center" wrapText="1"/>
    </xf>
  </cellXfs>
  <cellStyles count="3">
    <cellStyle name="標準" xfId="0" builtinId="0"/>
    <cellStyle name="標準 10" xfId="1" xr:uid="{E7E9ED90-65E2-448F-9C8B-CF25BBCFDCD4}"/>
    <cellStyle name="標準 2" xfId="2" xr:uid="{6A0039D2-C679-446B-9DE5-89C31D6900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C957-1702-4608-B42B-54EE7FF06932}">
  <dimension ref="A1:M25"/>
  <sheetViews>
    <sheetView topLeftCell="B1" zoomScale="85" zoomScaleNormal="85" workbookViewId="0">
      <selection activeCell="B1" sqref="B1"/>
    </sheetView>
  </sheetViews>
  <sheetFormatPr defaultRowHeight="18" x14ac:dyDescent="0.55000000000000004"/>
  <cols>
    <col min="1" max="1" width="7.08203125" bestFit="1" customWidth="1"/>
    <col min="2" max="2" width="12.5" bestFit="1" customWidth="1"/>
    <col min="3" max="3" width="73" bestFit="1" customWidth="1"/>
    <col min="4" max="4" width="6.9140625" bestFit="1" customWidth="1"/>
    <col min="5" max="5" width="10.6640625" bestFit="1" customWidth="1"/>
    <col min="6" max="6" width="10.58203125" bestFit="1" customWidth="1"/>
    <col min="7" max="8" width="8.83203125" bestFit="1" customWidth="1"/>
    <col min="9" max="10" width="8" bestFit="1" customWidth="1"/>
    <col min="11" max="11" width="8" style="1" customWidth="1"/>
    <col min="12" max="12" width="15" bestFit="1" customWidth="1"/>
    <col min="13" max="13" width="53.3320312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x14ac:dyDescent="0.55000000000000004">
      <c r="A2">
        <v>1548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11.391778107974245</v>
      </c>
      <c r="M2" t="s">
        <v>22</v>
      </c>
    </row>
    <row r="3" spans="1:13" x14ac:dyDescent="0.55000000000000004">
      <c r="A3">
        <v>1562</v>
      </c>
      <c r="B3" t="s">
        <v>13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s="1">
        <v>5.9435364041604757</v>
      </c>
      <c r="M3" t="s">
        <v>24</v>
      </c>
    </row>
    <row r="4" spans="1:13" x14ac:dyDescent="0.55000000000000004">
      <c r="A4">
        <v>1764</v>
      </c>
      <c r="B4" t="s">
        <v>13</v>
      </c>
      <c r="C4" t="s">
        <v>25</v>
      </c>
      <c r="D4" t="s">
        <v>26</v>
      </c>
      <c r="E4" t="s">
        <v>27</v>
      </c>
      <c r="F4" t="s">
        <v>17</v>
      </c>
      <c r="G4" t="s">
        <v>28</v>
      </c>
      <c r="H4" t="s">
        <v>29</v>
      </c>
      <c r="I4" t="s">
        <v>21</v>
      </c>
      <c r="J4" t="s">
        <v>21</v>
      </c>
      <c r="K4" s="1">
        <v>4.4576523031203568</v>
      </c>
      <c r="M4" t="s">
        <v>30</v>
      </c>
    </row>
    <row r="5" spans="1:13" s="4" customFormat="1" x14ac:dyDescent="0.55000000000000004">
      <c r="A5" s="4">
        <v>1774</v>
      </c>
      <c r="B5" s="4" t="s">
        <v>13</v>
      </c>
      <c r="C5" s="4" t="s">
        <v>31</v>
      </c>
      <c r="D5" s="4" t="s">
        <v>26</v>
      </c>
      <c r="E5" s="4" t="s">
        <v>27</v>
      </c>
      <c r="F5" s="4" t="s">
        <v>17</v>
      </c>
      <c r="G5" s="4" t="s">
        <v>28</v>
      </c>
      <c r="H5" s="4" t="s">
        <v>29</v>
      </c>
      <c r="I5" s="4" t="s">
        <v>21</v>
      </c>
      <c r="J5" s="4" t="s">
        <v>21</v>
      </c>
      <c r="K5" s="5">
        <v>1.4858841010401189</v>
      </c>
      <c r="M5" s="4" t="s">
        <v>32</v>
      </c>
    </row>
    <row r="6" spans="1:13" x14ac:dyDescent="0.55000000000000004">
      <c r="A6">
        <v>1784</v>
      </c>
      <c r="B6" t="s">
        <v>13</v>
      </c>
      <c r="C6" t="s">
        <v>33</v>
      </c>
      <c r="D6" t="s">
        <v>26</v>
      </c>
      <c r="E6" t="s">
        <v>27</v>
      </c>
      <c r="F6" t="s">
        <v>17</v>
      </c>
      <c r="G6" t="s">
        <v>28</v>
      </c>
      <c r="H6" t="s">
        <v>34</v>
      </c>
      <c r="I6" t="s">
        <v>21</v>
      </c>
      <c r="J6" t="s">
        <v>21</v>
      </c>
      <c r="K6" s="2"/>
      <c r="M6" t="s">
        <v>35</v>
      </c>
    </row>
    <row r="7" spans="1:13" x14ac:dyDescent="0.55000000000000004">
      <c r="A7">
        <v>1890</v>
      </c>
      <c r="B7" t="s">
        <v>36</v>
      </c>
      <c r="C7" t="s">
        <v>37</v>
      </c>
      <c r="D7" t="s">
        <v>26</v>
      </c>
      <c r="E7" t="s">
        <v>38</v>
      </c>
      <c r="F7" t="s">
        <v>17</v>
      </c>
      <c r="G7" t="s">
        <v>39</v>
      </c>
      <c r="H7" t="s">
        <v>40</v>
      </c>
      <c r="J7" t="s">
        <v>21</v>
      </c>
      <c r="K7" s="1">
        <v>14.858841010401189</v>
      </c>
      <c r="M7" t="s">
        <v>41</v>
      </c>
    </row>
    <row r="8" spans="1:13" x14ac:dyDescent="0.55000000000000004">
      <c r="A8">
        <v>1934</v>
      </c>
      <c r="B8" t="s">
        <v>36</v>
      </c>
      <c r="C8" t="s">
        <v>42</v>
      </c>
      <c r="D8" t="s">
        <v>26</v>
      </c>
      <c r="E8" t="s">
        <v>27</v>
      </c>
      <c r="F8" t="s">
        <v>17</v>
      </c>
      <c r="G8" t="s">
        <v>39</v>
      </c>
      <c r="H8" t="s">
        <v>19</v>
      </c>
      <c r="I8" t="s">
        <v>21</v>
      </c>
      <c r="J8" t="s">
        <v>21</v>
      </c>
      <c r="K8" s="2"/>
      <c r="M8" t="s">
        <v>43</v>
      </c>
    </row>
    <row r="9" spans="1:13" x14ac:dyDescent="0.55000000000000004">
      <c r="A9">
        <v>1958</v>
      </c>
      <c r="B9" t="s">
        <v>36</v>
      </c>
      <c r="C9" t="s">
        <v>44</v>
      </c>
      <c r="D9" t="s">
        <v>15</v>
      </c>
      <c r="E9" t="s">
        <v>38</v>
      </c>
      <c r="F9" t="s">
        <v>17</v>
      </c>
      <c r="G9" t="s">
        <v>39</v>
      </c>
      <c r="H9" t="s">
        <v>19</v>
      </c>
      <c r="J9" t="s">
        <v>21</v>
      </c>
      <c r="K9" s="1">
        <v>4.4576523031203568</v>
      </c>
      <c r="M9" t="s">
        <v>45</v>
      </c>
    </row>
    <row r="10" spans="1:13" x14ac:dyDescent="0.55000000000000004">
      <c r="A10">
        <v>2098</v>
      </c>
      <c r="B10" t="s">
        <v>36</v>
      </c>
      <c r="C10" t="s">
        <v>46</v>
      </c>
      <c r="D10" t="s">
        <v>26</v>
      </c>
      <c r="E10" t="s">
        <v>27</v>
      </c>
      <c r="F10" t="s">
        <v>17</v>
      </c>
      <c r="G10" t="s">
        <v>39</v>
      </c>
      <c r="H10" t="s">
        <v>40</v>
      </c>
      <c r="I10" t="s">
        <v>21</v>
      </c>
      <c r="J10" t="s">
        <v>21</v>
      </c>
      <c r="K10" s="2"/>
      <c r="M10" t="s">
        <v>47</v>
      </c>
    </row>
    <row r="11" spans="1:13" x14ac:dyDescent="0.55000000000000004">
      <c r="A11">
        <v>2112</v>
      </c>
      <c r="B11" t="s">
        <v>36</v>
      </c>
      <c r="C11" t="s">
        <v>48</v>
      </c>
      <c r="D11" t="s">
        <v>15</v>
      </c>
      <c r="E11" t="s">
        <v>38</v>
      </c>
      <c r="F11" t="s">
        <v>17</v>
      </c>
      <c r="G11" t="s">
        <v>39</v>
      </c>
      <c r="H11" t="s">
        <v>40</v>
      </c>
      <c r="J11" t="s">
        <v>21</v>
      </c>
      <c r="K11" s="1">
        <v>7.4294205052005946</v>
      </c>
      <c r="M11" t="s">
        <v>49</v>
      </c>
    </row>
    <row r="12" spans="1:13" x14ac:dyDescent="0.55000000000000004">
      <c r="A12">
        <v>2152</v>
      </c>
      <c r="B12" t="s">
        <v>50</v>
      </c>
      <c r="C12" t="s">
        <v>51</v>
      </c>
      <c r="D12" t="s">
        <v>26</v>
      </c>
      <c r="E12" t="s">
        <v>52</v>
      </c>
      <c r="F12" t="s">
        <v>17</v>
      </c>
      <c r="G12" t="s">
        <v>53</v>
      </c>
      <c r="H12" t="s">
        <v>19</v>
      </c>
      <c r="I12" t="s">
        <v>54</v>
      </c>
      <c r="J12" t="s">
        <v>21</v>
      </c>
      <c r="K12" s="1">
        <v>2.9717682020802378</v>
      </c>
      <c r="M12" t="s">
        <v>55</v>
      </c>
    </row>
    <row r="13" spans="1:13" x14ac:dyDescent="0.55000000000000004">
      <c r="A13">
        <v>2162</v>
      </c>
      <c r="B13" t="s">
        <v>50</v>
      </c>
      <c r="C13" t="s">
        <v>56</v>
      </c>
      <c r="D13" t="s">
        <v>26</v>
      </c>
      <c r="E13" t="s">
        <v>52</v>
      </c>
      <c r="F13" t="s">
        <v>17</v>
      </c>
      <c r="G13" t="s">
        <v>53</v>
      </c>
      <c r="H13" t="s">
        <v>19</v>
      </c>
      <c r="I13" t="s">
        <v>54</v>
      </c>
      <c r="J13" t="s">
        <v>21</v>
      </c>
      <c r="K13" s="1">
        <v>7.4294205052005946</v>
      </c>
      <c r="M13" t="s">
        <v>57</v>
      </c>
    </row>
    <row r="14" spans="1:13" x14ac:dyDescent="0.55000000000000004">
      <c r="A14">
        <v>2192</v>
      </c>
      <c r="B14" t="s">
        <v>58</v>
      </c>
      <c r="C14" t="s">
        <v>59</v>
      </c>
      <c r="D14" t="s">
        <v>60</v>
      </c>
      <c r="E14" t="s">
        <v>61</v>
      </c>
      <c r="F14" t="s">
        <v>17</v>
      </c>
      <c r="G14" t="s">
        <v>62</v>
      </c>
      <c r="H14" t="s">
        <v>19</v>
      </c>
      <c r="J14" t="s">
        <v>21</v>
      </c>
      <c r="K14" s="2"/>
      <c r="M14" t="s">
        <v>63</v>
      </c>
    </row>
    <row r="15" spans="1:13" x14ac:dyDescent="0.55000000000000004">
      <c r="A15">
        <v>2206</v>
      </c>
      <c r="B15" t="s">
        <v>58</v>
      </c>
      <c r="C15" t="s">
        <v>64</v>
      </c>
      <c r="D15" t="s">
        <v>26</v>
      </c>
      <c r="E15" t="s">
        <v>65</v>
      </c>
      <c r="F15" t="s">
        <v>17</v>
      </c>
      <c r="G15" t="s">
        <v>62</v>
      </c>
      <c r="H15" t="s">
        <v>19</v>
      </c>
      <c r="I15" t="s">
        <v>66</v>
      </c>
      <c r="J15" t="s">
        <v>21</v>
      </c>
      <c r="K15" s="1">
        <v>7.4294205052005946</v>
      </c>
      <c r="M15" t="s">
        <v>67</v>
      </c>
    </row>
    <row r="16" spans="1:13" x14ac:dyDescent="0.55000000000000004">
      <c r="A16">
        <v>2216</v>
      </c>
      <c r="B16" t="s">
        <v>58</v>
      </c>
      <c r="C16" t="s">
        <v>68</v>
      </c>
      <c r="D16" t="s">
        <v>26</v>
      </c>
      <c r="E16" t="s">
        <v>27</v>
      </c>
      <c r="F16" t="s">
        <v>17</v>
      </c>
      <c r="G16" t="s">
        <v>62</v>
      </c>
      <c r="H16" t="s">
        <v>29</v>
      </c>
      <c r="I16" t="s">
        <v>21</v>
      </c>
      <c r="J16" t="s">
        <v>21</v>
      </c>
      <c r="K16" s="1">
        <v>4.4576523031203568</v>
      </c>
      <c r="M16" t="s">
        <v>69</v>
      </c>
    </row>
    <row r="17" spans="1:13" x14ac:dyDescent="0.55000000000000004">
      <c r="A17">
        <v>2266</v>
      </c>
      <c r="B17" t="s">
        <v>70</v>
      </c>
      <c r="C17" t="s">
        <v>71</v>
      </c>
      <c r="D17" t="s">
        <v>26</v>
      </c>
      <c r="E17" t="s">
        <v>72</v>
      </c>
      <c r="F17" t="s">
        <v>17</v>
      </c>
      <c r="G17" t="s">
        <v>73</v>
      </c>
      <c r="H17" t="s">
        <v>19</v>
      </c>
      <c r="I17" t="s">
        <v>74</v>
      </c>
      <c r="J17" t="s">
        <v>21</v>
      </c>
      <c r="K17" s="1">
        <v>4.4576523031203568</v>
      </c>
      <c r="M17" t="s">
        <v>75</v>
      </c>
    </row>
    <row r="18" spans="1:13" x14ac:dyDescent="0.55000000000000004">
      <c r="A18">
        <v>2276</v>
      </c>
      <c r="B18" t="s">
        <v>70</v>
      </c>
      <c r="C18" t="s">
        <v>76</v>
      </c>
      <c r="D18" t="s">
        <v>26</v>
      </c>
      <c r="E18" t="s">
        <v>65</v>
      </c>
      <c r="F18" t="s">
        <v>17</v>
      </c>
      <c r="G18" t="s">
        <v>73</v>
      </c>
      <c r="H18" t="s">
        <v>19</v>
      </c>
      <c r="I18" t="s">
        <v>74</v>
      </c>
      <c r="J18" t="s">
        <v>21</v>
      </c>
      <c r="K18" s="1">
        <v>11.887072808320951</v>
      </c>
      <c r="M18" t="s">
        <v>77</v>
      </c>
    </row>
    <row r="19" spans="1:13" x14ac:dyDescent="0.55000000000000004">
      <c r="A19">
        <v>2466</v>
      </c>
      <c r="B19" t="s">
        <v>78</v>
      </c>
      <c r="C19" t="s">
        <v>79</v>
      </c>
      <c r="D19" t="s">
        <v>26</v>
      </c>
      <c r="E19" t="s">
        <v>38</v>
      </c>
      <c r="F19" t="s">
        <v>80</v>
      </c>
      <c r="G19" t="s">
        <v>62</v>
      </c>
      <c r="H19" t="s">
        <v>81</v>
      </c>
      <c r="J19" t="s">
        <v>21</v>
      </c>
      <c r="K19" s="1">
        <v>7.4294205052005946</v>
      </c>
      <c r="M19" t="s">
        <v>82</v>
      </c>
    </row>
    <row r="20" spans="1:13" x14ac:dyDescent="0.55000000000000004">
      <c r="A20">
        <v>2506</v>
      </c>
      <c r="B20" t="s">
        <v>78</v>
      </c>
      <c r="C20" t="s">
        <v>83</v>
      </c>
      <c r="D20" t="s">
        <v>26</v>
      </c>
      <c r="E20" t="s">
        <v>27</v>
      </c>
      <c r="F20" t="s">
        <v>80</v>
      </c>
      <c r="G20" t="s">
        <v>84</v>
      </c>
      <c r="H20" t="s">
        <v>81</v>
      </c>
      <c r="I20" t="s">
        <v>21</v>
      </c>
      <c r="J20" t="s">
        <v>21</v>
      </c>
      <c r="K20" s="1">
        <v>4.4576523031203568</v>
      </c>
      <c r="M20" t="s">
        <v>85</v>
      </c>
    </row>
    <row r="21" spans="1:13" x14ac:dyDescent="0.55000000000000004">
      <c r="A21">
        <v>2556</v>
      </c>
      <c r="B21" t="s">
        <v>78</v>
      </c>
      <c r="C21" t="s">
        <v>86</v>
      </c>
      <c r="D21" t="s">
        <v>26</v>
      </c>
      <c r="E21" t="s">
        <v>27</v>
      </c>
      <c r="F21" t="s">
        <v>80</v>
      </c>
      <c r="G21" t="s">
        <v>84</v>
      </c>
      <c r="H21" t="s">
        <v>81</v>
      </c>
      <c r="I21" t="s">
        <v>21</v>
      </c>
      <c r="J21" t="s">
        <v>21</v>
      </c>
      <c r="K21" s="1">
        <v>4.4576523031203568</v>
      </c>
      <c r="M21" t="s">
        <v>87</v>
      </c>
    </row>
    <row r="22" spans="1:13" x14ac:dyDescent="0.55000000000000004">
      <c r="A22">
        <v>2566</v>
      </c>
      <c r="B22" t="s">
        <v>78</v>
      </c>
      <c r="C22" t="s">
        <v>88</v>
      </c>
      <c r="D22" t="s">
        <v>26</v>
      </c>
      <c r="E22" t="s">
        <v>27</v>
      </c>
      <c r="F22" t="s">
        <v>80</v>
      </c>
      <c r="G22" t="s">
        <v>84</v>
      </c>
      <c r="H22" t="s">
        <v>81</v>
      </c>
      <c r="I22" t="s">
        <v>21</v>
      </c>
      <c r="J22" t="s">
        <v>21</v>
      </c>
      <c r="K22" s="1">
        <v>7.4294205052005946</v>
      </c>
      <c r="M22" t="s">
        <v>89</v>
      </c>
    </row>
    <row r="23" spans="1:13" x14ac:dyDescent="0.55000000000000004">
      <c r="A23">
        <v>2696</v>
      </c>
      <c r="B23" t="s">
        <v>78</v>
      </c>
      <c r="C23" t="s">
        <v>90</v>
      </c>
      <c r="D23" t="s">
        <v>26</v>
      </c>
      <c r="E23" t="s">
        <v>72</v>
      </c>
      <c r="F23" t="s">
        <v>80</v>
      </c>
      <c r="G23" t="s">
        <v>28</v>
      </c>
      <c r="H23" t="s">
        <v>81</v>
      </c>
      <c r="I23" t="s">
        <v>74</v>
      </c>
      <c r="J23" t="s">
        <v>21</v>
      </c>
      <c r="K23" s="1">
        <v>4.4576523031203568</v>
      </c>
      <c r="M23" t="s">
        <v>91</v>
      </c>
    </row>
    <row r="24" spans="1:13" x14ac:dyDescent="0.55000000000000004">
      <c r="A24">
        <v>2716</v>
      </c>
      <c r="B24" t="s">
        <v>78</v>
      </c>
      <c r="C24" t="s">
        <v>92</v>
      </c>
      <c r="D24" t="s">
        <v>26</v>
      </c>
      <c r="E24" t="s">
        <v>93</v>
      </c>
      <c r="F24" t="s">
        <v>80</v>
      </c>
      <c r="G24" t="s">
        <v>53</v>
      </c>
      <c r="H24" t="s">
        <v>81</v>
      </c>
      <c r="J24" t="s">
        <v>21</v>
      </c>
      <c r="K24" s="1">
        <v>4.4576523031203568</v>
      </c>
      <c r="M24" t="s">
        <v>94</v>
      </c>
    </row>
    <row r="25" spans="1:13" x14ac:dyDescent="0.55000000000000004">
      <c r="A25">
        <v>2938</v>
      </c>
      <c r="B25" t="s">
        <v>36</v>
      </c>
      <c r="C25" t="s">
        <v>95</v>
      </c>
      <c r="D25" t="s">
        <v>15</v>
      </c>
      <c r="E25" t="s">
        <v>27</v>
      </c>
      <c r="F25" t="s">
        <v>17</v>
      </c>
      <c r="G25" t="s">
        <v>39</v>
      </c>
      <c r="H25" t="s">
        <v>29</v>
      </c>
      <c r="J25" t="s">
        <v>21</v>
      </c>
      <c r="K25" s="1">
        <v>4.4576523031203568</v>
      </c>
      <c r="M25" t="s">
        <v>96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4E85-1C8E-49A3-83B7-8B0FDE805107}">
  <dimension ref="A1:O44"/>
  <sheetViews>
    <sheetView showGridLines="0" tabSelected="1" topLeftCell="B1" workbookViewId="0">
      <selection activeCell="B1" sqref="B1"/>
    </sheetView>
  </sheetViews>
  <sheetFormatPr defaultRowHeight="18" x14ac:dyDescent="0.55000000000000004"/>
  <cols>
    <col min="1" max="1" width="4.4140625" style="7" customWidth="1"/>
    <col min="2" max="2" width="12.4140625" style="7" bestFit="1" customWidth="1"/>
    <col min="3" max="3" width="49.1640625" style="7" customWidth="1"/>
    <col min="4" max="4" width="8.6640625" style="7"/>
    <col min="5" max="5" width="17.4140625" style="52" customWidth="1"/>
    <col min="6" max="6" width="8.6640625" style="7"/>
    <col min="7" max="7" width="10.08203125" style="7" bestFit="1" customWidth="1"/>
    <col min="8" max="8" width="9.1640625" style="7" bestFit="1" customWidth="1"/>
    <col min="9" max="9" width="12.4140625" style="7" bestFit="1" customWidth="1"/>
    <col min="10" max="10" width="5.83203125" style="7" bestFit="1" customWidth="1"/>
    <col min="11" max="11" width="12.25" style="7" bestFit="1" customWidth="1"/>
    <col min="12" max="12" width="9.1640625" style="7" bestFit="1" customWidth="1"/>
    <col min="13" max="13" width="16.58203125" style="7" bestFit="1" customWidth="1"/>
    <col min="14" max="14" width="16.58203125" style="7" customWidth="1"/>
    <col min="15" max="15" width="72.9140625" style="7" customWidth="1"/>
    <col min="16" max="16384" width="8.6640625" style="7"/>
  </cols>
  <sheetData>
    <row r="1" spans="1:15" x14ac:dyDescent="0.55000000000000004">
      <c r="G1" s="8" t="s">
        <v>172</v>
      </c>
    </row>
    <row r="2" spans="1:15" customFormat="1" ht="20" x14ac:dyDescent="0.55000000000000004">
      <c r="A2" s="9" t="s">
        <v>97</v>
      </c>
      <c r="B2" s="9" t="s">
        <v>98</v>
      </c>
      <c r="C2" s="9" t="s">
        <v>99</v>
      </c>
      <c r="D2" s="20" t="s">
        <v>100</v>
      </c>
      <c r="E2" s="35" t="s">
        <v>145</v>
      </c>
      <c r="F2" s="24" t="s">
        <v>101</v>
      </c>
      <c r="G2" s="10" t="s">
        <v>102</v>
      </c>
      <c r="H2" s="10" t="s">
        <v>103</v>
      </c>
      <c r="I2" s="10" t="s">
        <v>104</v>
      </c>
      <c r="J2" s="10" t="s">
        <v>105</v>
      </c>
      <c r="K2" s="10" t="s">
        <v>106</v>
      </c>
      <c r="L2" s="10" t="s">
        <v>107</v>
      </c>
      <c r="M2" s="10" t="s">
        <v>108</v>
      </c>
      <c r="N2" s="10" t="s">
        <v>143</v>
      </c>
      <c r="O2" s="11" t="s">
        <v>109</v>
      </c>
    </row>
    <row r="3" spans="1:15" customFormat="1" ht="36" x14ac:dyDescent="0.55000000000000004">
      <c r="A3" s="3">
        <v>1</v>
      </c>
      <c r="B3" s="3" t="s">
        <v>110</v>
      </c>
      <c r="C3" s="3" t="s">
        <v>14</v>
      </c>
      <c r="D3" s="21" t="s">
        <v>111</v>
      </c>
      <c r="E3" s="32">
        <v>11.391778107974245</v>
      </c>
      <c r="F3" s="25" t="s">
        <v>139</v>
      </c>
      <c r="G3" s="12">
        <v>10</v>
      </c>
      <c r="H3" s="13">
        <f t="shared" ref="H3:H11" si="0">G3*0.5</f>
        <v>5</v>
      </c>
      <c r="I3" s="13">
        <f t="shared" ref="I3:I8" si="1">G3*0.1</f>
        <v>1</v>
      </c>
      <c r="J3" s="13">
        <f t="shared" ref="J3:J11" si="2">G3*0.3</f>
        <v>3</v>
      </c>
      <c r="K3" s="13">
        <f t="shared" ref="K3:K8" si="3">G3*0.1</f>
        <v>1</v>
      </c>
      <c r="L3" s="13">
        <f t="shared" ref="L3:L11" si="4">G3*0.5</f>
        <v>5</v>
      </c>
      <c r="M3" s="13">
        <f t="shared" ref="M3:M8" si="5">G3*0.1</f>
        <v>1</v>
      </c>
      <c r="N3" s="13"/>
      <c r="O3" s="17" t="s">
        <v>181</v>
      </c>
    </row>
    <row r="4" spans="1:15" customFormat="1" x14ac:dyDescent="0.55000000000000004">
      <c r="A4" s="3">
        <v>2</v>
      </c>
      <c r="B4" s="3" t="s">
        <v>112</v>
      </c>
      <c r="C4" s="3" t="s">
        <v>23</v>
      </c>
      <c r="D4" s="21" t="s">
        <v>111</v>
      </c>
      <c r="E4" s="32">
        <v>5.9435364041604757</v>
      </c>
      <c r="F4" s="26" t="s">
        <v>138</v>
      </c>
      <c r="G4" s="12">
        <v>5</v>
      </c>
      <c r="H4" s="13">
        <f t="shared" si="0"/>
        <v>2.5</v>
      </c>
      <c r="I4" s="13">
        <f t="shared" si="1"/>
        <v>0.5</v>
      </c>
      <c r="J4" s="13">
        <f t="shared" si="2"/>
        <v>1.5</v>
      </c>
      <c r="K4" s="13">
        <f t="shared" si="3"/>
        <v>0.5</v>
      </c>
      <c r="L4" s="13">
        <f t="shared" si="4"/>
        <v>2.5</v>
      </c>
      <c r="M4" s="13">
        <f t="shared" si="5"/>
        <v>0.5</v>
      </c>
      <c r="N4" s="13"/>
      <c r="O4" s="17" t="s">
        <v>182</v>
      </c>
    </row>
    <row r="5" spans="1:15" customFormat="1" x14ac:dyDescent="0.55000000000000004">
      <c r="A5" s="3">
        <v>3</v>
      </c>
      <c r="B5" s="3" t="s">
        <v>113</v>
      </c>
      <c r="C5" s="3" t="s">
        <v>25</v>
      </c>
      <c r="D5" s="21" t="s">
        <v>111</v>
      </c>
      <c r="E5" s="32">
        <v>4.4576523031203568</v>
      </c>
      <c r="F5" s="26" t="s">
        <v>138</v>
      </c>
      <c r="G5" s="12">
        <v>5</v>
      </c>
      <c r="H5" s="13">
        <f>G5*0.5</f>
        <v>2.5</v>
      </c>
      <c r="I5" s="13">
        <f>G5*0.1</f>
        <v>0.5</v>
      </c>
      <c r="J5" s="13">
        <f>G5*0.3</f>
        <v>1.5</v>
      </c>
      <c r="K5" s="13">
        <f>G5*0.1</f>
        <v>0.5</v>
      </c>
      <c r="L5" s="13">
        <f>G5*0.5</f>
        <v>2.5</v>
      </c>
      <c r="M5" s="13">
        <f>G5*0.1</f>
        <v>0.5</v>
      </c>
      <c r="N5" s="13"/>
      <c r="O5" s="17" t="s">
        <v>183</v>
      </c>
    </row>
    <row r="6" spans="1:15" s="4" customFormat="1" x14ac:dyDescent="0.55000000000000004">
      <c r="A6" s="6">
        <v>4</v>
      </c>
      <c r="B6" s="6" t="s">
        <v>114</v>
      </c>
      <c r="C6" s="6" t="s">
        <v>31</v>
      </c>
      <c r="D6" s="22"/>
      <c r="E6" s="33">
        <v>1.4858841010401189</v>
      </c>
      <c r="F6" s="27"/>
      <c r="G6" s="15"/>
      <c r="H6" s="15">
        <f t="shared" si="0"/>
        <v>0</v>
      </c>
      <c r="I6" s="15">
        <f t="shared" si="1"/>
        <v>0</v>
      </c>
      <c r="J6" s="15">
        <f t="shared" si="2"/>
        <v>0</v>
      </c>
      <c r="K6" s="15">
        <f t="shared" si="3"/>
        <v>0</v>
      </c>
      <c r="L6" s="15">
        <f t="shared" si="4"/>
        <v>0</v>
      </c>
      <c r="M6" s="15">
        <f t="shared" si="5"/>
        <v>0</v>
      </c>
      <c r="N6" s="15"/>
      <c r="O6" s="16" t="s">
        <v>140</v>
      </c>
    </row>
    <row r="7" spans="1:15" customFormat="1" x14ac:dyDescent="0.55000000000000004">
      <c r="A7" s="3">
        <v>5</v>
      </c>
      <c r="B7" s="3" t="s">
        <v>115</v>
      </c>
      <c r="C7" s="3" t="s">
        <v>33</v>
      </c>
      <c r="D7" s="21" t="s">
        <v>135</v>
      </c>
      <c r="E7" s="34"/>
      <c r="F7" s="26" t="s">
        <v>138</v>
      </c>
      <c r="G7" s="12">
        <v>5</v>
      </c>
      <c r="H7" s="13">
        <f t="shared" si="0"/>
        <v>2.5</v>
      </c>
      <c r="I7" s="13">
        <f t="shared" si="1"/>
        <v>0.5</v>
      </c>
      <c r="J7" s="13">
        <f t="shared" si="2"/>
        <v>1.5</v>
      </c>
      <c r="K7" s="13">
        <f t="shared" si="3"/>
        <v>0.5</v>
      </c>
      <c r="L7" s="13">
        <f t="shared" si="4"/>
        <v>2.5</v>
      </c>
      <c r="M7" s="13">
        <f t="shared" si="5"/>
        <v>0.5</v>
      </c>
      <c r="N7" s="13"/>
      <c r="O7" s="14" t="s">
        <v>184</v>
      </c>
    </row>
    <row r="8" spans="1:15" customFormat="1" ht="36" x14ac:dyDescent="0.55000000000000004">
      <c r="A8" s="3">
        <v>6</v>
      </c>
      <c r="B8" s="3" t="s">
        <v>116</v>
      </c>
      <c r="C8" s="3" t="s">
        <v>37</v>
      </c>
      <c r="D8" s="21" t="s">
        <v>136</v>
      </c>
      <c r="E8" s="32">
        <v>14.858841010401189</v>
      </c>
      <c r="F8" s="28" t="s">
        <v>168</v>
      </c>
      <c r="G8" s="12">
        <v>3</v>
      </c>
      <c r="H8" s="13">
        <f t="shared" si="0"/>
        <v>1.5</v>
      </c>
      <c r="I8" s="13">
        <f t="shared" si="1"/>
        <v>0.30000000000000004</v>
      </c>
      <c r="J8" s="13">
        <f t="shared" si="2"/>
        <v>0.89999999999999991</v>
      </c>
      <c r="K8" s="13">
        <f t="shared" si="3"/>
        <v>0.30000000000000004</v>
      </c>
      <c r="L8" s="13">
        <f t="shared" si="4"/>
        <v>1.5</v>
      </c>
      <c r="M8" s="13">
        <f t="shared" si="5"/>
        <v>0.30000000000000004</v>
      </c>
      <c r="N8" s="13"/>
      <c r="O8" s="17" t="s">
        <v>185</v>
      </c>
    </row>
    <row r="9" spans="1:15" customFormat="1" ht="72" x14ac:dyDescent="0.55000000000000004">
      <c r="A9" s="3">
        <v>7</v>
      </c>
      <c r="B9" s="3" t="s">
        <v>117</v>
      </c>
      <c r="C9" s="3" t="s">
        <v>42</v>
      </c>
      <c r="D9" s="21" t="s">
        <v>111</v>
      </c>
      <c r="E9" s="34"/>
      <c r="F9" s="26" t="s">
        <v>137</v>
      </c>
      <c r="G9" s="12">
        <v>30</v>
      </c>
      <c r="H9" s="13">
        <f t="shared" si="0"/>
        <v>15</v>
      </c>
      <c r="I9" s="13">
        <v>1</v>
      </c>
      <c r="J9" s="13">
        <f t="shared" si="2"/>
        <v>9</v>
      </c>
      <c r="K9" s="13">
        <v>1</v>
      </c>
      <c r="L9" s="13">
        <f t="shared" si="4"/>
        <v>15</v>
      </c>
      <c r="M9" s="13">
        <v>1</v>
      </c>
      <c r="N9" s="13"/>
      <c r="O9" s="17" t="s">
        <v>193</v>
      </c>
    </row>
    <row r="10" spans="1:15" customFormat="1" x14ac:dyDescent="0.55000000000000004">
      <c r="A10" s="3">
        <v>8</v>
      </c>
      <c r="B10" s="3" t="s">
        <v>118</v>
      </c>
      <c r="C10" s="3" t="s">
        <v>44</v>
      </c>
      <c r="D10" s="21" t="s">
        <v>19</v>
      </c>
      <c r="E10" s="32">
        <v>4.4576523031203568</v>
      </c>
      <c r="F10" s="26" t="s">
        <v>138</v>
      </c>
      <c r="G10" s="12">
        <v>5</v>
      </c>
      <c r="H10" s="13">
        <f>G10*0.5</f>
        <v>2.5</v>
      </c>
      <c r="I10" s="13">
        <f>G10*0.1</f>
        <v>0.5</v>
      </c>
      <c r="J10" s="13">
        <f>G10*0.3</f>
        <v>1.5</v>
      </c>
      <c r="K10" s="13">
        <f>G10*0.1</f>
        <v>0.5</v>
      </c>
      <c r="L10" s="13">
        <f>G10*0.5</f>
        <v>2.5</v>
      </c>
      <c r="M10" s="13">
        <f>G10*0.1</f>
        <v>0.5</v>
      </c>
      <c r="N10" s="13"/>
      <c r="O10" s="14" t="s">
        <v>186</v>
      </c>
    </row>
    <row r="11" spans="1:15" customFormat="1" x14ac:dyDescent="0.55000000000000004">
      <c r="A11" s="3">
        <v>9</v>
      </c>
      <c r="B11" s="3" t="s">
        <v>119</v>
      </c>
      <c r="C11" s="3" t="s">
        <v>46</v>
      </c>
      <c r="D11" s="21" t="s">
        <v>40</v>
      </c>
      <c r="E11" s="34"/>
      <c r="F11" s="26" t="s">
        <v>137</v>
      </c>
      <c r="G11" s="12">
        <v>30</v>
      </c>
      <c r="H11" s="13">
        <f t="shared" si="0"/>
        <v>15</v>
      </c>
      <c r="I11" s="13">
        <v>1</v>
      </c>
      <c r="J11" s="13">
        <f t="shared" si="2"/>
        <v>9</v>
      </c>
      <c r="K11" s="13">
        <v>1</v>
      </c>
      <c r="L11" s="13">
        <f t="shared" si="4"/>
        <v>15</v>
      </c>
      <c r="M11" s="13">
        <v>1</v>
      </c>
      <c r="N11" s="13"/>
      <c r="O11" s="14" t="s">
        <v>187</v>
      </c>
    </row>
    <row r="12" spans="1:15" customFormat="1" x14ac:dyDescent="0.55000000000000004">
      <c r="A12" s="3">
        <v>10</v>
      </c>
      <c r="B12" s="3" t="s">
        <v>120</v>
      </c>
      <c r="C12" s="3" t="s">
        <v>48</v>
      </c>
      <c r="D12" s="21" t="s">
        <v>40</v>
      </c>
      <c r="E12" s="32">
        <v>7.4294205052005946</v>
      </c>
      <c r="F12" s="25" t="s">
        <v>139</v>
      </c>
      <c r="G12" s="12">
        <v>10</v>
      </c>
      <c r="H12" s="13">
        <f t="shared" ref="H12:H26" si="6">G12*0.5</f>
        <v>5</v>
      </c>
      <c r="I12" s="13">
        <f t="shared" ref="I12:I26" si="7">G12*0.1</f>
        <v>1</v>
      </c>
      <c r="J12" s="13">
        <f t="shared" ref="J12:J26" si="8">G12*0.3</f>
        <v>3</v>
      </c>
      <c r="K12" s="13">
        <f t="shared" ref="K12:K26" si="9">G12*0.1</f>
        <v>1</v>
      </c>
      <c r="L12" s="13">
        <f t="shared" ref="L12:L26" si="10">G12*0.5</f>
        <v>5</v>
      </c>
      <c r="M12" s="13">
        <f t="shared" ref="M12:M26" si="11">G12*0.1</f>
        <v>1</v>
      </c>
      <c r="N12" s="13"/>
      <c r="O12" s="14" t="s">
        <v>194</v>
      </c>
    </row>
    <row r="13" spans="1:15" x14ac:dyDescent="0.55000000000000004">
      <c r="A13" s="3">
        <v>11</v>
      </c>
      <c r="B13" s="3" t="s">
        <v>121</v>
      </c>
      <c r="C13" s="3" t="s">
        <v>51</v>
      </c>
      <c r="D13" s="23" t="s">
        <v>19</v>
      </c>
      <c r="E13" s="32">
        <v>2.9717682020802378</v>
      </c>
      <c r="F13" s="29" t="s">
        <v>141</v>
      </c>
      <c r="G13" s="12">
        <v>3</v>
      </c>
      <c r="H13" s="13">
        <f t="shared" si="6"/>
        <v>1.5</v>
      </c>
      <c r="I13" s="13">
        <f t="shared" si="7"/>
        <v>0.30000000000000004</v>
      </c>
      <c r="J13" s="13">
        <f t="shared" si="8"/>
        <v>0.89999999999999991</v>
      </c>
      <c r="K13" s="13">
        <f t="shared" si="9"/>
        <v>0.30000000000000004</v>
      </c>
      <c r="L13" s="13">
        <f t="shared" si="10"/>
        <v>1.5</v>
      </c>
      <c r="M13" s="13">
        <f t="shared" si="11"/>
        <v>0.30000000000000004</v>
      </c>
      <c r="N13" s="13"/>
      <c r="O13" s="14" t="s">
        <v>195</v>
      </c>
    </row>
    <row r="14" spans="1:15" x14ac:dyDescent="0.55000000000000004">
      <c r="A14" s="3">
        <v>12</v>
      </c>
      <c r="B14" s="3" t="s">
        <v>122</v>
      </c>
      <c r="C14" s="3" t="s">
        <v>56</v>
      </c>
      <c r="D14" s="23" t="s">
        <v>19</v>
      </c>
      <c r="E14" s="32">
        <v>7.4294205052005946</v>
      </c>
      <c r="F14" s="29" t="s">
        <v>138</v>
      </c>
      <c r="G14" s="12">
        <v>5</v>
      </c>
      <c r="H14" s="13">
        <f t="shared" si="6"/>
        <v>2.5</v>
      </c>
      <c r="I14" s="13">
        <f t="shared" si="7"/>
        <v>0.5</v>
      </c>
      <c r="J14" s="13">
        <f t="shared" si="8"/>
        <v>1.5</v>
      </c>
      <c r="K14" s="13">
        <f t="shared" si="9"/>
        <v>0.5</v>
      </c>
      <c r="L14" s="13">
        <f t="shared" si="10"/>
        <v>2.5</v>
      </c>
      <c r="M14" s="13">
        <f t="shared" si="11"/>
        <v>0.5</v>
      </c>
      <c r="N14" s="13"/>
      <c r="O14" s="14" t="s">
        <v>195</v>
      </c>
    </row>
    <row r="15" spans="1:15" x14ac:dyDescent="0.55000000000000004">
      <c r="A15" s="3">
        <v>13</v>
      </c>
      <c r="B15" s="3" t="s">
        <v>123</v>
      </c>
      <c r="C15" s="3" t="s">
        <v>59</v>
      </c>
      <c r="D15" s="23" t="s">
        <v>19</v>
      </c>
      <c r="E15" s="34"/>
      <c r="F15" s="29" t="s">
        <v>139</v>
      </c>
      <c r="G15" s="12">
        <v>10</v>
      </c>
      <c r="H15" s="13">
        <f t="shared" si="6"/>
        <v>5</v>
      </c>
      <c r="I15" s="13">
        <f t="shared" si="7"/>
        <v>1</v>
      </c>
      <c r="J15" s="13">
        <f t="shared" si="8"/>
        <v>3</v>
      </c>
      <c r="K15" s="13">
        <f t="shared" si="9"/>
        <v>1</v>
      </c>
      <c r="L15" s="13">
        <f t="shared" si="10"/>
        <v>5</v>
      </c>
      <c r="M15" s="13">
        <f t="shared" si="11"/>
        <v>1</v>
      </c>
      <c r="N15" s="13"/>
      <c r="O15" s="14" t="s">
        <v>188</v>
      </c>
    </row>
    <row r="16" spans="1:15" ht="36" x14ac:dyDescent="0.55000000000000004">
      <c r="A16" s="3">
        <v>14</v>
      </c>
      <c r="B16" s="3" t="s">
        <v>124</v>
      </c>
      <c r="C16" s="3" t="s">
        <v>64</v>
      </c>
      <c r="D16" s="23" t="s">
        <v>19</v>
      </c>
      <c r="E16" s="32">
        <v>7.4294205052005946</v>
      </c>
      <c r="F16" s="29" t="s">
        <v>139</v>
      </c>
      <c r="G16" s="12">
        <v>10</v>
      </c>
      <c r="H16" s="13">
        <f t="shared" si="6"/>
        <v>5</v>
      </c>
      <c r="I16" s="13">
        <f t="shared" si="7"/>
        <v>1</v>
      </c>
      <c r="J16" s="13">
        <f t="shared" si="8"/>
        <v>3</v>
      </c>
      <c r="K16" s="13">
        <f t="shared" si="9"/>
        <v>1</v>
      </c>
      <c r="L16" s="13">
        <f t="shared" si="10"/>
        <v>5</v>
      </c>
      <c r="M16" s="13">
        <f t="shared" si="11"/>
        <v>1</v>
      </c>
      <c r="N16" s="13"/>
      <c r="O16" s="17" t="s">
        <v>189</v>
      </c>
    </row>
    <row r="17" spans="1:15" x14ac:dyDescent="0.55000000000000004">
      <c r="A17" s="3">
        <v>15</v>
      </c>
      <c r="B17" s="3" t="s">
        <v>125</v>
      </c>
      <c r="C17" s="3" t="s">
        <v>68</v>
      </c>
      <c r="D17" s="23" t="s">
        <v>19</v>
      </c>
      <c r="E17" s="32">
        <v>4.4576523031203568</v>
      </c>
      <c r="F17" s="29" t="s">
        <v>138</v>
      </c>
      <c r="G17" s="12">
        <v>5</v>
      </c>
      <c r="H17" s="13">
        <f t="shared" si="6"/>
        <v>2.5</v>
      </c>
      <c r="I17" s="13">
        <f t="shared" si="7"/>
        <v>0.5</v>
      </c>
      <c r="J17" s="13">
        <f t="shared" si="8"/>
        <v>1.5</v>
      </c>
      <c r="K17" s="13">
        <f t="shared" si="9"/>
        <v>0.5</v>
      </c>
      <c r="L17" s="13">
        <f t="shared" si="10"/>
        <v>2.5</v>
      </c>
      <c r="M17" s="13">
        <f t="shared" si="11"/>
        <v>0.5</v>
      </c>
      <c r="N17" s="13"/>
      <c r="O17" s="14" t="s">
        <v>190</v>
      </c>
    </row>
    <row r="18" spans="1:15" x14ac:dyDescent="0.55000000000000004">
      <c r="A18" s="3">
        <v>16</v>
      </c>
      <c r="B18" s="3" t="s">
        <v>126</v>
      </c>
      <c r="C18" s="3" t="s">
        <v>71</v>
      </c>
      <c r="D18" s="23" t="s">
        <v>19</v>
      </c>
      <c r="E18" s="32">
        <v>4.4576523031203568</v>
      </c>
      <c r="F18" s="30" t="s">
        <v>138</v>
      </c>
      <c r="G18" s="12">
        <v>5</v>
      </c>
      <c r="H18" s="13">
        <f t="shared" si="6"/>
        <v>2.5</v>
      </c>
      <c r="I18" s="13">
        <f t="shared" si="7"/>
        <v>0.5</v>
      </c>
      <c r="J18" s="13">
        <f t="shared" si="8"/>
        <v>1.5</v>
      </c>
      <c r="K18" s="13">
        <f t="shared" si="9"/>
        <v>0.5</v>
      </c>
      <c r="L18" s="13">
        <f t="shared" si="10"/>
        <v>2.5</v>
      </c>
      <c r="M18" s="13">
        <f t="shared" si="11"/>
        <v>0.5</v>
      </c>
      <c r="N18" s="13"/>
      <c r="O18" s="14" t="s">
        <v>195</v>
      </c>
    </row>
    <row r="19" spans="1:15" x14ac:dyDescent="0.55000000000000004">
      <c r="A19" s="3">
        <v>17</v>
      </c>
      <c r="B19" s="3" t="s">
        <v>127</v>
      </c>
      <c r="C19" s="3" t="s">
        <v>76</v>
      </c>
      <c r="D19" s="23" t="s">
        <v>19</v>
      </c>
      <c r="E19" s="32">
        <v>11.887072808320951</v>
      </c>
      <c r="F19" s="30" t="s">
        <v>139</v>
      </c>
      <c r="G19" s="12">
        <v>10</v>
      </c>
      <c r="H19" s="13">
        <f t="shared" si="6"/>
        <v>5</v>
      </c>
      <c r="I19" s="13">
        <f t="shared" si="7"/>
        <v>1</v>
      </c>
      <c r="J19" s="13">
        <f t="shared" si="8"/>
        <v>3</v>
      </c>
      <c r="K19" s="13">
        <f t="shared" si="9"/>
        <v>1</v>
      </c>
      <c r="L19" s="13">
        <f t="shared" si="10"/>
        <v>5</v>
      </c>
      <c r="M19" s="13">
        <f t="shared" si="11"/>
        <v>1</v>
      </c>
      <c r="N19" s="13"/>
      <c r="O19" s="14" t="s">
        <v>195</v>
      </c>
    </row>
    <row r="20" spans="1:15" ht="108" x14ac:dyDescent="0.55000000000000004">
      <c r="A20" s="3">
        <v>18</v>
      </c>
      <c r="B20" s="3" t="s">
        <v>128</v>
      </c>
      <c r="C20" s="3" t="s">
        <v>79</v>
      </c>
      <c r="D20" s="23" t="s">
        <v>136</v>
      </c>
      <c r="E20" s="32">
        <v>7.4294205052005946</v>
      </c>
      <c r="F20" s="31" t="s">
        <v>170</v>
      </c>
      <c r="G20" s="12">
        <v>20</v>
      </c>
      <c r="H20" s="13">
        <f t="shared" si="6"/>
        <v>10</v>
      </c>
      <c r="I20" s="13">
        <v>1</v>
      </c>
      <c r="J20" s="13">
        <f t="shared" si="8"/>
        <v>6</v>
      </c>
      <c r="K20" s="13">
        <v>1</v>
      </c>
      <c r="L20" s="13">
        <f t="shared" si="10"/>
        <v>10</v>
      </c>
      <c r="M20" s="13">
        <v>1</v>
      </c>
      <c r="N20" s="13">
        <v>3</v>
      </c>
      <c r="O20" s="17" t="s">
        <v>178</v>
      </c>
    </row>
    <row r="21" spans="1:15" ht="144" x14ac:dyDescent="0.55000000000000004">
      <c r="A21" s="3">
        <v>19</v>
      </c>
      <c r="B21" s="3" t="s">
        <v>129</v>
      </c>
      <c r="C21" s="3" t="s">
        <v>83</v>
      </c>
      <c r="D21" s="23" t="s">
        <v>136</v>
      </c>
      <c r="E21" s="32">
        <v>4.4576523031203568</v>
      </c>
      <c r="F21" s="31" t="s">
        <v>170</v>
      </c>
      <c r="G21" s="12">
        <v>20</v>
      </c>
      <c r="H21" s="13">
        <f t="shared" si="6"/>
        <v>10</v>
      </c>
      <c r="I21" s="13">
        <v>1</v>
      </c>
      <c r="J21" s="13">
        <f t="shared" si="8"/>
        <v>6</v>
      </c>
      <c r="K21" s="13">
        <v>1</v>
      </c>
      <c r="L21" s="13">
        <f t="shared" si="10"/>
        <v>10</v>
      </c>
      <c r="M21" s="13">
        <v>1</v>
      </c>
      <c r="N21" s="13"/>
      <c r="O21" s="17" t="s">
        <v>192</v>
      </c>
    </row>
    <row r="22" spans="1:15" ht="198" x14ac:dyDescent="0.55000000000000004">
      <c r="A22" s="3">
        <v>20</v>
      </c>
      <c r="B22" s="3" t="s">
        <v>130</v>
      </c>
      <c r="C22" s="3" t="s">
        <v>147</v>
      </c>
      <c r="D22" s="23" t="s">
        <v>136</v>
      </c>
      <c r="E22" s="32">
        <v>4.4576523031203568</v>
      </c>
      <c r="F22" s="18" t="s">
        <v>170</v>
      </c>
      <c r="G22" s="12">
        <v>30</v>
      </c>
      <c r="H22" s="13">
        <f t="shared" si="6"/>
        <v>15</v>
      </c>
      <c r="I22" s="13">
        <v>1</v>
      </c>
      <c r="J22" s="13">
        <f t="shared" si="8"/>
        <v>9</v>
      </c>
      <c r="K22" s="13">
        <v>1</v>
      </c>
      <c r="L22" s="13">
        <f t="shared" si="10"/>
        <v>15</v>
      </c>
      <c r="M22" s="13">
        <v>1</v>
      </c>
      <c r="N22" s="13"/>
      <c r="O22" s="17" t="s">
        <v>191</v>
      </c>
    </row>
    <row r="23" spans="1:15" ht="36" x14ac:dyDescent="0.55000000000000004">
      <c r="A23" s="3">
        <v>21</v>
      </c>
      <c r="B23" s="3" t="s">
        <v>131</v>
      </c>
      <c r="C23" s="3" t="s">
        <v>146</v>
      </c>
      <c r="D23" s="23" t="s">
        <v>136</v>
      </c>
      <c r="E23" s="32">
        <v>7.4294205052005946</v>
      </c>
      <c r="F23" s="36"/>
      <c r="G23" s="12"/>
      <c r="H23" s="13">
        <v>1</v>
      </c>
      <c r="I23" s="13">
        <f t="shared" si="7"/>
        <v>0</v>
      </c>
      <c r="J23" s="13">
        <v>9</v>
      </c>
      <c r="K23" s="13">
        <f t="shared" si="9"/>
        <v>0</v>
      </c>
      <c r="L23" s="13">
        <f t="shared" si="10"/>
        <v>0</v>
      </c>
      <c r="M23" s="13">
        <f t="shared" si="11"/>
        <v>0</v>
      </c>
      <c r="N23" s="19"/>
      <c r="O23" s="59" t="s">
        <v>175</v>
      </c>
    </row>
    <row r="24" spans="1:15" x14ac:dyDescent="0.55000000000000004">
      <c r="A24" s="3">
        <v>22</v>
      </c>
      <c r="B24" s="3" t="s">
        <v>132</v>
      </c>
      <c r="C24" s="3" t="s">
        <v>90</v>
      </c>
      <c r="D24" s="23" t="s">
        <v>136</v>
      </c>
      <c r="E24" s="32">
        <v>4.4576523031203568</v>
      </c>
      <c r="F24" s="31" t="s">
        <v>176</v>
      </c>
      <c r="G24" s="12">
        <v>10</v>
      </c>
      <c r="H24" s="13">
        <f t="shared" si="6"/>
        <v>5</v>
      </c>
      <c r="I24" s="13">
        <f t="shared" si="7"/>
        <v>1</v>
      </c>
      <c r="J24" s="13">
        <f t="shared" si="8"/>
        <v>3</v>
      </c>
      <c r="K24" s="13">
        <f t="shared" si="9"/>
        <v>1</v>
      </c>
      <c r="L24" s="13">
        <f t="shared" si="10"/>
        <v>5</v>
      </c>
      <c r="M24" s="13">
        <f t="shared" si="11"/>
        <v>1</v>
      </c>
      <c r="N24" s="13"/>
      <c r="O24" s="17" t="s">
        <v>177</v>
      </c>
    </row>
    <row r="25" spans="1:15" ht="54" x14ac:dyDescent="0.55000000000000004">
      <c r="A25" s="3">
        <v>23</v>
      </c>
      <c r="B25" s="3" t="s">
        <v>133</v>
      </c>
      <c r="C25" s="3" t="s">
        <v>92</v>
      </c>
      <c r="D25" s="23" t="s">
        <v>136</v>
      </c>
      <c r="E25" s="32">
        <v>4.4576523031203568</v>
      </c>
      <c r="F25" s="31" t="s">
        <v>171</v>
      </c>
      <c r="G25" s="12">
        <v>20</v>
      </c>
      <c r="H25" s="13">
        <f t="shared" si="6"/>
        <v>10</v>
      </c>
      <c r="I25" s="13">
        <v>1</v>
      </c>
      <c r="J25" s="13">
        <f t="shared" si="8"/>
        <v>6</v>
      </c>
      <c r="K25" s="13">
        <v>1</v>
      </c>
      <c r="L25" s="13">
        <f t="shared" si="10"/>
        <v>10</v>
      </c>
      <c r="M25" s="13">
        <v>1</v>
      </c>
      <c r="N25" s="13"/>
      <c r="O25" s="17" t="s">
        <v>180</v>
      </c>
    </row>
    <row r="26" spans="1:15" ht="36" x14ac:dyDescent="0.55000000000000004">
      <c r="A26" s="3">
        <v>24</v>
      </c>
      <c r="B26" s="3" t="s">
        <v>134</v>
      </c>
      <c r="C26" s="3" t="s">
        <v>95</v>
      </c>
      <c r="D26" s="23" t="s">
        <v>19</v>
      </c>
      <c r="E26" s="32">
        <v>4.4576523031203568</v>
      </c>
      <c r="F26" s="29" t="s">
        <v>138</v>
      </c>
      <c r="G26" s="12">
        <v>5</v>
      </c>
      <c r="H26" s="13">
        <f t="shared" si="6"/>
        <v>2.5</v>
      </c>
      <c r="I26" s="13">
        <f t="shared" si="7"/>
        <v>0.5</v>
      </c>
      <c r="J26" s="13">
        <f t="shared" si="8"/>
        <v>1.5</v>
      </c>
      <c r="K26" s="13">
        <f t="shared" si="9"/>
        <v>0.5</v>
      </c>
      <c r="L26" s="13">
        <f t="shared" si="10"/>
        <v>2.5</v>
      </c>
      <c r="M26" s="13">
        <f t="shared" si="11"/>
        <v>0.5</v>
      </c>
      <c r="N26" s="13"/>
      <c r="O26" s="17" t="s">
        <v>179</v>
      </c>
    </row>
    <row r="27" spans="1:15" x14ac:dyDescent="0.55000000000000004">
      <c r="G27" s="53" t="s">
        <v>169</v>
      </c>
      <c r="H27" s="55">
        <f t="shared" ref="H27:N27" si="12">SUM(H3:H26)</f>
        <v>129</v>
      </c>
      <c r="I27" s="55">
        <f t="shared" si="12"/>
        <v>16.600000000000001</v>
      </c>
      <c r="J27" s="55">
        <f t="shared" si="12"/>
        <v>85.8</v>
      </c>
      <c r="K27" s="55">
        <f t="shared" si="12"/>
        <v>16.600000000000001</v>
      </c>
      <c r="L27" s="55">
        <f t="shared" si="12"/>
        <v>128</v>
      </c>
      <c r="M27" s="55">
        <f t="shared" si="12"/>
        <v>16.600000000000001</v>
      </c>
      <c r="N27" s="55">
        <f t="shared" si="12"/>
        <v>3</v>
      </c>
    </row>
    <row r="28" spans="1:15" x14ac:dyDescent="0.55000000000000004">
      <c r="G28" s="54" t="s">
        <v>173</v>
      </c>
      <c r="H28" s="56">
        <f>SUM(H27:N27)</f>
        <v>395.6</v>
      </c>
      <c r="I28" s="57" t="s">
        <v>174</v>
      </c>
      <c r="J28" s="57"/>
      <c r="K28" s="57"/>
      <c r="L28" s="57"/>
      <c r="M28" s="57"/>
      <c r="N28" s="58"/>
    </row>
    <row r="30" spans="1:15" x14ac:dyDescent="0.55000000000000004">
      <c r="A30" s="37" t="s">
        <v>148</v>
      </c>
      <c r="B30" s="38"/>
      <c r="C30" s="38"/>
    </row>
    <row r="31" spans="1:15" x14ac:dyDescent="0.55000000000000004">
      <c r="A31" s="39"/>
      <c r="B31" s="38"/>
      <c r="C31" s="40" t="s">
        <v>149</v>
      </c>
    </row>
    <row r="32" spans="1:15" x14ac:dyDescent="0.55000000000000004">
      <c r="A32" s="41" t="s">
        <v>150</v>
      </c>
      <c r="B32" s="40" t="s">
        <v>151</v>
      </c>
      <c r="C32" s="42" t="s">
        <v>152</v>
      </c>
    </row>
    <row r="33" spans="1:3" x14ac:dyDescent="0.55000000000000004">
      <c r="A33" s="43" t="s">
        <v>153</v>
      </c>
      <c r="B33" s="44" t="s">
        <v>154</v>
      </c>
      <c r="C33" s="45">
        <v>40</v>
      </c>
    </row>
    <row r="34" spans="1:3" x14ac:dyDescent="0.55000000000000004">
      <c r="A34" s="43" t="s">
        <v>155</v>
      </c>
      <c r="B34" s="44" t="s">
        <v>156</v>
      </c>
      <c r="C34" s="45">
        <v>20</v>
      </c>
    </row>
    <row r="35" spans="1:3" x14ac:dyDescent="0.55000000000000004">
      <c r="A35" s="43" t="s">
        <v>157</v>
      </c>
      <c r="B35" s="44" t="s">
        <v>144</v>
      </c>
      <c r="C35" s="45">
        <v>10</v>
      </c>
    </row>
    <row r="36" spans="1:3" x14ac:dyDescent="0.55000000000000004">
      <c r="A36" s="43" t="s">
        <v>158</v>
      </c>
      <c r="B36" s="44" t="s">
        <v>142</v>
      </c>
      <c r="C36" s="45">
        <v>5</v>
      </c>
    </row>
    <row r="37" spans="1:3" x14ac:dyDescent="0.55000000000000004">
      <c r="A37" s="43" t="s">
        <v>159</v>
      </c>
      <c r="B37" s="44" t="s">
        <v>160</v>
      </c>
      <c r="C37" s="45">
        <v>3</v>
      </c>
    </row>
    <row r="38" spans="1:3" x14ac:dyDescent="0.55000000000000004">
      <c r="A38" s="43" t="s">
        <v>161</v>
      </c>
      <c r="B38" s="44" t="s">
        <v>162</v>
      </c>
      <c r="C38" s="45">
        <v>1</v>
      </c>
    </row>
    <row r="39" spans="1:3" x14ac:dyDescent="0.55000000000000004">
      <c r="A39" s="46"/>
      <c r="B39" s="47"/>
      <c r="C39" s="47"/>
    </row>
    <row r="40" spans="1:3" ht="20" x14ac:dyDescent="0.55000000000000004">
      <c r="A40" s="48" t="s">
        <v>163</v>
      </c>
      <c r="B40" s="49"/>
      <c r="C40" s="49"/>
    </row>
    <row r="41" spans="1:3" x14ac:dyDescent="0.55000000000000004">
      <c r="A41" s="50" t="s">
        <v>164</v>
      </c>
      <c r="B41" s="51">
        <v>0.5</v>
      </c>
      <c r="C41" s="49"/>
    </row>
    <row r="42" spans="1:3" x14ac:dyDescent="0.55000000000000004">
      <c r="A42" s="50" t="s">
        <v>165</v>
      </c>
      <c r="B42" s="51">
        <v>0.1</v>
      </c>
      <c r="C42" s="49"/>
    </row>
    <row r="43" spans="1:3" x14ac:dyDescent="0.55000000000000004">
      <c r="A43" s="50" t="s">
        <v>166</v>
      </c>
      <c r="B43" s="51">
        <v>0.3</v>
      </c>
      <c r="C43" s="49"/>
    </row>
    <row r="44" spans="1:3" x14ac:dyDescent="0.55000000000000004">
      <c r="A44" s="50" t="s">
        <v>167</v>
      </c>
      <c r="B44" s="51">
        <v>0.1</v>
      </c>
      <c r="C44" s="4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対象(ロンテック様)</vt:lpstr>
      <vt:lpstr>見積工数概算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YASUSHI HASHIZUME</dc:creator>
  <cp:lastModifiedBy>袁 新宇</cp:lastModifiedBy>
  <dcterms:created xsi:type="dcterms:W3CDTF">2026-01-22T05:57:24Z</dcterms:created>
  <dcterms:modified xsi:type="dcterms:W3CDTF">2026-01-29T08:04:16Z</dcterms:modified>
</cp:coreProperties>
</file>